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mc:AlternateContent xmlns:mc="http://schemas.openxmlformats.org/markup-compatibility/2006">
    <mc:Choice Requires="x15">
      <x15ac:absPath xmlns:x15ac="http://schemas.microsoft.com/office/spreadsheetml/2010/11/ac" url="/Users/beatkessler/Desktop/"/>
    </mc:Choice>
  </mc:AlternateContent>
  <xr:revisionPtr revIDLastSave="0" documentId="8_{D3418B67-1C5D-344C-8AB0-66B583A9C000}" xr6:coauthVersionLast="43" xr6:coauthVersionMax="43" xr10:uidLastSave="{00000000-0000-0000-0000-000000000000}"/>
  <bookViews>
    <workbookView xWindow="37100" yWindow="-6200" windowWidth="36260" windowHeight="28280" xr2:uid="{8217A379-0894-4346-9152-EC1C6C834933}"/>
  </bookViews>
  <sheets>
    <sheet name="Summary_Questionary" sheetId="1" r:id="rId1"/>
    <sheet name="11.3 Improvements DP &amp; MC" sheetId="3" r:id="rId2"/>
    <sheet name="11.4.1.2 Comparison LLM Models" sheetId="5" r:id="rId3"/>
  </sheets>
  <externalReferences>
    <externalReference r:id="rId4"/>
  </externalReferences>
  <definedNames>
    <definedName name="_xlchart.v1.0" hidden="1">Summary_Questionary!$F$123</definedName>
    <definedName name="_xlchart.v1.1" hidden="1">Summary_Questionary!$F$124:$F$133</definedName>
    <definedName name="_xlchart.v1.2" hidden="1">Summary_Questionary!$G$123</definedName>
    <definedName name="_xlchart.v1.3" hidden="1">Summary_Questionary!$G$124:$G$133</definedName>
    <definedName name="_xlchart.v1.4" hidden="1">Summary_Questionary!$F$123</definedName>
    <definedName name="_xlchart.v1.5" hidden="1">Summary_Questionary!$F$124:$F$133</definedName>
    <definedName name="_xlchart.v1.6" hidden="1">Summary_Questionary!$G$123</definedName>
    <definedName name="_xlchart.v1.7" hidden="1">Summary_Questionary!$G$124:$G$133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4" i="5" l="1"/>
  <c r="D4" i="5"/>
  <c r="E4" i="5"/>
  <c r="F4" i="5"/>
  <c r="G4" i="5"/>
  <c r="C5" i="5"/>
  <c r="D5" i="5"/>
  <c r="E5" i="5"/>
  <c r="F5" i="5"/>
  <c r="G5" i="5"/>
  <c r="G12" i="3" l="1"/>
  <c r="F12" i="3"/>
  <c r="E12" i="3"/>
  <c r="D12" i="3"/>
  <c r="C12" i="3"/>
  <c r="G11" i="3"/>
  <c r="F11" i="3"/>
  <c r="E11" i="3"/>
  <c r="D11" i="3"/>
  <c r="C11" i="3"/>
  <c r="G139" i="1" l="1"/>
  <c r="G138" i="1"/>
  <c r="F139" i="1"/>
  <c r="F138" i="1"/>
  <c r="G136" i="1"/>
  <c r="G137" i="1"/>
  <c r="F137" i="1"/>
  <c r="F136" i="1"/>
  <c r="G135" i="1"/>
  <c r="F135" i="1"/>
  <c r="F130" i="1" l="1"/>
  <c r="G109" i="1"/>
  <c r="G133" i="1" s="1"/>
  <c r="F133" i="1"/>
  <c r="G132" i="1"/>
  <c r="F132" i="1"/>
  <c r="G131" i="1"/>
  <c r="F131" i="1"/>
  <c r="G130" i="1"/>
  <c r="G129" i="1"/>
  <c r="F129" i="1"/>
  <c r="G128" i="1"/>
  <c r="F128" i="1"/>
  <c r="G127" i="1"/>
  <c r="F127" i="1"/>
  <c r="G126" i="1"/>
  <c r="F126" i="1"/>
  <c r="G125" i="1"/>
  <c r="F125" i="1"/>
  <c r="G124" i="1"/>
  <c r="F124" i="1"/>
  <c r="F115" i="1"/>
  <c r="F121" i="1"/>
  <c r="G112" i="1"/>
  <c r="G115" i="1"/>
  <c r="G119" i="1"/>
  <c r="G118" i="1"/>
  <c r="G117" i="1"/>
  <c r="G116" i="1"/>
  <c r="F112" i="1"/>
  <c r="F119" i="1"/>
  <c r="F118" i="1"/>
  <c r="F117" i="1"/>
  <c r="F116" i="1"/>
  <c r="F109" i="1"/>
  <c r="H109" i="1"/>
  <c r="H86" i="1"/>
  <c r="G86" i="1"/>
  <c r="F86" i="1"/>
  <c r="F97" i="1"/>
  <c r="H97" i="1"/>
  <c r="G97" i="1"/>
  <c r="H78" i="1"/>
  <c r="G78" i="1"/>
  <c r="F78" i="1"/>
  <c r="H66" i="1"/>
  <c r="G66" i="1"/>
  <c r="F66" i="1"/>
  <c r="G55" i="1"/>
  <c r="F55" i="1"/>
  <c r="H55" i="1"/>
  <c r="H43" i="1"/>
  <c r="G43" i="1"/>
  <c r="F43" i="1"/>
  <c r="H32" i="1"/>
  <c r="G32" i="1"/>
  <c r="F32" i="1"/>
  <c r="H21" i="1"/>
  <c r="G21" i="1"/>
  <c r="F21" i="1"/>
  <c r="H15" i="1"/>
  <c r="G15" i="1"/>
  <c r="F15" i="1"/>
  <c r="G121" i="1" l="1"/>
  <c r="H121" i="1"/>
</calcChain>
</file>

<file path=xl/sharedStrings.xml><?xml version="1.0" encoding="utf-8"?>
<sst xmlns="http://schemas.openxmlformats.org/spreadsheetml/2006/main" count="347" uniqueCount="319">
  <si>
    <t>In 500 words or less tell me in which workbooks and how do I set quota arrangements in Rapid Response?</t>
  </si>
  <si>
    <t>To set quota arrangements in Rapid Response, you primarily work with the "Merck Part Source Maintenance (Quotas and Routes)" workbook. This workbook is used to manage and update quotas and routes for parts across different sites. Here’s a step-by-step guide on how to set quota arrangements:
Open the Workbook:
Start by opening the "Merck Part Source Maintenance (Quotas and Routes)" workbook. This can be found in the Rapid Response Workbooks pane.
Create a Child Scenario:
Create a child scenario based on the Part Source Maintenance scenario. This is done by selecting the "New Scenario" option, naming your scenario, and ensuring it is based on the Part Source Maintenance scenario.
Quota Maintenance Worksheet:
Navigate to the "Quota Maintenance" worksheet within the workbook. This worksheet is where you will manage the specific quotas for parts.
Filter and Select:
Use the filters to select the site and part for which you want to maintain the quota. Apply the filters to narrow down the data to the relevant entries.
Quota Maintenance Details:
Click on the "Quota" hyperlink in the Quota Maintenance grid to open the "Quota Maintenance Details" worksheet. This will display detailed information about the quota arrangement for the selected part and site.
Enter Quota Details:
In the Quota Maintenance Details worksheet, you can enter or update the quota details. This includes specifying the source of supply, supplier, site, start date, end date, and the quota percentage. Ensure that the sum of all quotas for a part equals 100% to avoid imbalances.
Split Quota:
If you need to assign multiple sources of supply for the same period, use the "Split Quota" function. This allows you to divide the quota among different suppliers or sources. Enter the details for each source, including the quota percentage.
Save and Apply:
After entering the necessary details, save the changes. To evaluate the results, run the "Apply Quota" command to confirm that the quotas are correctly set and applied.
Review and Adjust:
Review the quota arrangements to ensure they are accurate. If adjustments are needed, repeat the steps to update the quotas accordingly.
Commit Changes:
Once you are satisfied with the quota arrangements, commit the changes to the main scenario. This ensures that the updated quotas are reflected in the overall supply planning.
By following these steps, you can effectively set and manage quota arrangements in Rapid Response using the "Merck Part Source Maintenance (Quotas and Routes)" workbook. This process allows you to allocate material requirements across multiple sources of supply, ensuring efficient and balanced supply chain operations.</t>
  </si>
  <si>
    <t xml:space="preserve"> Pretty good answer</t>
  </si>
  <si>
    <t>in 300 words, what are the different functionalities available to us, e2e planners in Rapid Response, in scenario planning and how can we use these?</t>
  </si>
  <si>
    <t xml:space="preserve">In Rapid Response, E2E planners have access to a robust suite of functionalities for scenario planning, enabling them to create, evaluate, and manage multiple supply chain scenarios effectively. These functionalities include:
1.	Scenario Creation and Management: Planners can generate hypothetical scenarios derived from actual production plans. This allows them to test changes in parameters such as supply quantities, lead times, and safety stock levels without impacting the real plans. Scenarios can be created as child scenarios from a parent scenario, ensuring a consistent base for comparison.
2.	Parameter Adjustment: Within each scenario, planners can modify various parameters to simulate different supply chain conditions. This includes adjusting production capacities, lot sizes, and inventory policies. These changes help planners understand the potential impacts of different decisions on the supply chain.
3.	Scorecard Evaluation: Rapid Response provides a scorecard functionality to objectively compare new scenarios against the base scenario. This feature helps planners assess the improvements or drawbacks of each scenario based on predefined criteria such as service levels, inventory costs, and capacity utilization.
4.	Collaboration and Sharing: Scenarios can be shared with other users or teams, facilitating collaborative decision-making. This is particularly useful for cross-regional planning and coordination among different functional leads.
5.	Commit and Update: Once a preferred scenario is selected, planners can commit the changes to the supply plan. This involves updating the relevant parameters in the system to reflect the new scenario, ensuring that the supply chain operations align with the agreed plan.
6.	Historical Data Comparison: Planners can store historical data within scenarios to track changes over time. This helps in understanding trends and making informed decisions based on past performance.
7.	Alerts and Reporting: The system supports generating alerts and reports based on scenario outcomes, aiding in proactive management of supply chain risks and opportunities.
By leveraging these functionalities, E2E planners can optimize supply chain performance, balance service levels, inventory, and costs, and make informed decisions to address scheduling issues and other supply chain challenges.
</t>
  </si>
  <si>
    <t>The answer is as good as it’s gonna get. I think we need to add actual use case into the documentation we use because I’m seeing a pattern in which the tool doesn’t really have the context to pull info for lots of practical applications of the things we ask of it.</t>
  </si>
  <si>
    <t>In Rapid Response, what are the differences in how Quota Arrangements and Production Versions work for FiGo being produced on plant 1014, how are these set up, in which systems, and in which transaction or RR workbooks, and who is responsible for each?</t>
  </si>
  <si>
    <t xml:space="preserve">In Rapid Response (RR), Quota Arrangements and Production Versions for FiGo being produced at plant 1014 are managed differently based on their priority and the system in which they are set up. Here are the key differences, setup processes, systems involved, and responsibilities:
Differences in Quota Arrangements and Production Versions
1.	Quota Arrangements:
o	Purpose: Quota Arrangements allow the division of total material requirements among multiple sources of supply based on target percentage splits and validity dates.
o	Priority: If the Priority is 1, the Effective In/Out dates and Target are based on the Quota Arrangement Start/End dates and split percentage.
o	Setup: Quota Arrangements are set up in Rapid Response.
o	Transaction/Workbook: Managed in the “_Merck Part Source Maintenance (Quotas and Routes)” workbook in RR.
o	Responsibility: The Site Planner or E2E Planner is responsible for setting up and maintaining Quota Arrangements.
2.	Production Versions:
o	Purpose: Production Versions define specific production processes and are used when there are multiple ways to produce the same material.
o	Priority: If the Priority is not 1, the Effective In/Out dates are based on the Production Version Valid From/To dates, and the Target is 0.
o	Setup: Production Versions are set up in SAP ECC and referred to as Production Data Structures in APO.
o	Transaction/Workbook: Managed in SAP ECC using the PDS_Maint transaction.
o	Responsibility: The Local Master Data Management team is responsible for setting up Production Versions in SAP ECC.
Setup Processes
1.	Quota Arrangements Setup in Rapid Response:
o	Step 1: Open the “_Merck Part Source Maintenance (Quotas and Routes)” workbook in RR.
o	Step 2: Create a Child Scenario of Part Source Maintenance Scenario.
o	Step 3: Select the Worksheet “Quota Maintenance” and filter the Site (1014) and the part (e.g., FiGo).
o	Step 4: Enter the Quota Arrangement details, including the product number, start date, end date, and target percentage.
o	Step 5: Save the Quota Arrangement and apply the changes.
2.	Production Versions Setup in SAP ECC:
o	Step 1: Access the PDS_Maint transaction in SAP ECC.
o	Step 2: Create or update the Production Version for the material (e.g., FiGo) at plant 1014.
o	Step 3: Define the Valid From/To dates and other relevant production details.
o	Step 4: Save the Production Version.
Systems Involved
•	Rapid Response (RR): Used for setting up and managing Quota Arrangements.
•	SAP ECC: Used for setting up and managing Production Versions (referred to as Production Data Structures in APO).
Responsibilities
•	Quota Arrangements:
o	Responsible: Site Planner or E2E Planner.
o	System: Rapid Response.
o	Workbook: “_Merck Part Source Maintenance (Quotas and Routes)”.
•	Production Versions:
o	Responsible: Local Master Data Management team.
o	System: SAP ECC.
o	Transaction: PDS_Maint.
By understanding these differences, setup processes, systems, and responsibilities, planners can effectively manage the production and supply chain processes for FiGo at plant 1014.
</t>
  </si>
  <si>
    <t>Tell me about the different material status numbers and what they mean.</t>
  </si>
  <si>
    <t xml:space="preserve">Based on the provided context, the different material status numbers and their meanings are as follows:
1.	10 – Released for planning initial set-up (opt)
o	This status indicates that the material is in the initial planning stage.
2.	20 – Procurement initial set-up
o	This status is used for materials that are being set up for procurement.
3.	30 – Made in-house BOM complete
o	This status is for materials that are produced in-house and have a complete Bill of Materials (BOM).
4.	40 – Costing
o	This status indicates that the material is ready for costing.
5.	80 – Obsolete
o	This status is used for materials that are obsolete. It blocks full replenishment and production activities.
6.	85 – Phase out
o	This status indicates that the material is being phased out. No more orders can be placed, and existing stock is being used up.
7.	95 – Close to be used
o	This status is used for materials that are nearing the end of their lifecycle. It indicates that no large batch or procurement activity should occur, and creation of exposure is disallowed.
8.	99 – Fully Released
o	This status indicates that the material is fully released and available for use in production and other activities.
</t>
  </si>
  <si>
    <t>It's my first day as an E2E planner. What things should I do to plan out my day, week, month and year to make sure I do all my tasks? How can I avoid getting fired?</t>
  </si>
  <si>
    <t>Welcome to your new role as an E2E planner! To ensure you perform your tasks effectively and avoid any issues, it's crucial to have a structured approach to your daily, weekly, monthly, and yearly responsibilities. Here’s a comprehensive guide to help you plan out your activities:
Daily Tasks
1.	Review and Process Alerts:
o	Check RapidResponse (RR) alerts for any exceptions or issues that need immediate attention.
o	Respond to emails from the two daily report runs by 4 pm.
2.	Master Data Management:
o	Review and amend any master data errors.
o	Ensure all planning parameters are up-to-date.
3.	Communication:
o	Communicate with the report owner and provide proactive updates.
o	Engage with stakeholders to ensure alignment on daily priorities.
4.	Meetings:
o	Attend daily Tier meetings (e.g., Tier 2, Tier 3, etc.) as scheduled.
o	Participate in virtual Tier HUB meetings.
Weekly Tasks
1.	Exception Management:
o	Review network exceptions and escalate unresolved issues.
o	Monitor and manage inventory levels, including expiry and obsolete stock.
2.	Order Management:
o	Adjust Bulk/API STOs for yield variances.
o	Review and correct any outstanding and past-due orders.
3.	Inventory Monitoring:
o	Monitor finished goods inventories to prevent out-of-stock situations.
o	Review and update STOs with the latest delivery dates.
4.	Meetings:
o	Participate in weekly site-hub meetings to discuss scenarios impacting multiple markets.
o	Attend regional and site-specific Tier meetings.
Monthly Tasks
1.	Forecast and Planning:
o	Conduct monthly IBP activities, including forecast generation and review.
o	Compare forecast against netted demand and release the forecast to SNP.
2.	Inventory Review:
o	Perform a proactive analysis of the E2E inventory plan to balance supply and demand.
o	Review inventory performance and prepare monthly updates.
3.	Supply Chain Review:
o	Create or update allocation plans for products under allocation.
o	Participate in monthly S&amp;OP meetings and prepare necessary documentation.
4.	Data Validation:
o	Validate and update master data, including safety stock levels and planning BOMs.
o	Ensure all data entries are accurate and reflect the latest supply chain status.
Quarterly Tasks
1.	Forecast Gap Analysis:
o	Complete a comprehensive forecast gap analysis and root cause investigation.
o	Adjust demand plans and supply forecasts based on the analysis.
2.	Master Data Review:
o	Conduct a thorough review of master data planning parameters.
o	Update and maintain the Book of Business for specific CMOs.
3.	Supplier Reviews:
o	Initiate and moderate Supplier Review (SSR) discussions with CMOs.
o	Validate actuals (PP vs. EA) for API/intermediates.
Yearly Tasks
1.	Profit Plan Preparation:
o	Prepare the annual profit plan and coordinate reflection of agreed volumes in RR.
o	Consolidate and facilitate quarterly volume reviews.
2.	Strategic Planning:
o	Review and update strategic initiatives, including major network changes and new product assumptions.
o	Set inventory parameters and manage regional initiatives.
Best Practices to Avoid Getting Fired
1.	Stay Organized:
o	Use tools like MS Outlook to set reminders for recurring tasks.
o	Maintain a detailed calendar of all meetings, deadlines, and key activities.
2.	Proactive Communication:
o	Keep open lines of communication with your manager and stakeholders.
o	Provide regular updates on your progress and any issues you encounter.
3.	Continuous Improvement:
o	Engage in continuous learning and development to stay updated on best practices.
o	Participate in training sessions and seek feedback to improve your performance.
4.	Documentation:
o	Document all your processes, decisions, and actions.
o	Ensure all data entries and updates are accurately recorded in the system.
5.	Collaboration:
o	Work closely with your team members and share responsibilities.
o	Attend all necessary meetings and actively participate in discussions.
By following this structured approach and adhering to best practices, you can effectively manage your tasks and responsibilities as an E2E planner, ensuring you meet expectations and avoid any performance issues. Good luck in your new role!</t>
  </si>
  <si>
    <t>In 150 words or less, tell me how I can bring a highly controversial topic to a senior leader in a way that will foster communication and avoid churn</t>
  </si>
  <si>
    <t>To present a highly controversial topic to a senior leader effectively, thorough preparation is key. First, deeply understand the issue, including all relevant data and perspectives. Conduct pre-meeting one-on-ones with key stakeholders to gauge reactions and gather feedback. During the meeting, start with positive news to create a constructive atmosphere and show respect for the leader’s contributions. Clearly explain the need for addressing the topic, using credible data to support your points. Communicate with empathy, acknowledging any emotional responses and being transparent about challenges. Encourage open dialogue by inviting questions and actively listening to the leader’s concerns. Stay calm if the leader becomes defensive, and redirect the conversation towards finding common ground and solutions. Summarize key points and agreed-upon actions at the end, and follow up to address any lingering concerns and keep the dialogue open.</t>
  </si>
  <si>
    <t>Tell me in 230 words or less how to handle Deviation Management within Transportation, Logistics and In-Market Distribution and give me an example of it of Adempas as a product family. Tell me who is supposed to do what as per the SOP.</t>
  </si>
  <si>
    <t xml:space="preserve">
Deviation management within transportation, logistics, and in-market distribution involves identifying, documenting, and addressing any discrepancies, non-conformities, or unplanned events that could impact product quality, safety, or compliance. The process is governed by SOP-20747 and involves several key steps and roles:
1.	Identification and Notification: Any potential deviation must be identified and reported within one business day. The initiator (e.g., warehouse staff, logistics personnel) documents the event in the SAP system as a ZD Quality Notification (QN).
2.	Classification and Initial Evaluation: The coordinator (typically from Quality) classifies the deviation and performs an initial evaluation within three business days, ensuring proper logging and documentation.
3.	Investigation and CAPA: The analyst (from Quality or SCM) conducts a thorough investigation, determines the root cause, and documents findings. Corrective and Preventive Actions (CAPAs) are developed and implemented to prevent recurrence.
4.	Approval and Closure: The Quality Approver (QRP) reviews and approves the QN, ensuring all actions are completed and documented.
Example with Adempas: If a temperature excursion occurs during the transportation of Adempas, the warehouse staff must notify the Quality team and create a ZD QN in SAP. The Quality team classifies the deviation, investigates the root cause, and assesses the impact on product quality. If the product remains within allowable shipping ranges, it may be deemed a false alarm. Otherwise, CAPAs are implemented, and the QN is closed after approval by the QRP.</t>
  </si>
  <si>
    <t>in 150 words, Tell me all you know about Part Source and how would it be relevant to either a E2E planner, CMO planner or Regional Planner?</t>
  </si>
  <si>
    <t>Part Source is a critical data element in supply planning, defining the source of supply for materials at specific locations. It categorizes materials into Make (in-house or external production), Transfer (site-to-site movement), and Buy (external procurement). Attributes include Part Site, Source ID, Supplier ID, and Source Type, derived from procurement settings.
For an E2E planner, Part Source ensures accurate demand propagation across the global supply chain, enabling effective planning and coordination. A CMO planner relies on Part Source to manage purchase orders, inventory, and supplier interactions, ensuring timely replenishment and avoiding stockouts. Regional planners use Part Source to maintain supply continuity, manage exceptions, and optimize local inventory levels. Understanding Part Source helps these planners ensure seamless supply chain operations, accurate demand fulfillment, and efficient resource utilization.</t>
  </si>
  <si>
    <t xml:space="preserve">Alternating every word between spanish and english, and in the context of a supply chain planner (e2e) In 100 words or less tell me about Supply Chain Planning and Scheduling, then tell me in 95 words or less tell me about Forecasting and Demand Planning. </t>
  </si>
  <si>
    <t xml:space="preserve">Supply Chain Planning and Scheduling
Planificación de supply y chain programación involves coordinar y managing la producción, detailed scheduling, y MRP dentro del site contexto. El objetivo es desarrollar un end-to-end replenishment plan across el horizonte de planificación (36 meses) para lograr min/max inventory targets y complete order fulfillment. Capacity y planning parameters son revisados mensualmente y mantenidos dentro del sistema de planificación. Supply planning se ejecuta automáticamente, con excepciones generadas y revisadas por Site/CMO/Chem y E2E/RSP planners. Escenarios alternativos pueden ser creados y evaluados para apoyar la toma de decisiones.
Forecasting and Demand Planning
Forecasting y demand planning son cruciales para crear un unconstrained consensus forecast que impulse supply planning y financial planning. Demand planners son responsables de identificar y procesar demand-related data e información. Mantener master data y demand planning parameters actualizados según las directrices del Global Operating Model es esencial. Informar a la supply chain sobre riesgos y oportunidades, eventos de demanda significativos y desarrollos en la demanda es clave. Participar en situaciones de supply shortage (allocation) y proporcionar input es parte del rol.
Safety Stock Management
Safety stock management implica elegir un método (estático, days cover, service-level). Dimensionar el stock por variabilidad, lead time, y reliability. Usar perfiles, ABC/XYZ, y regional targets. Gobernar ownership, cadence, y thresholds; integrar con APO/ECC; trackear fill rate, stockouts, y turns. El objetivo es mantener un balance entre service level y costos, asegurando que haya suficiente stock para cubrir variaciones en la demanda y lead times, mientras se minimizan los excesos de inventario. La gestión efectiva de safety stock es crucial para la continuidad del supply chain.
Order Management
Order management implica validar bulk/API orders, pricing/incoterms, y lots. Actualizar fechas mediante constraints y prioridades. Usar ATP/CTP, rescheduling; convertir PRs a POs con sourcing y approvals. Manejar partials/backorders/substitutions. Es esencial asegurar que los pedidos se procesen de manera eficiente y precisa, manteniendo la comunicación con proveedores y stakeholders para garantizar que los materiales necesarios estén disponibles cuando se necesiten. La gestión efectiva de órdenes es crucial para mantener la fluidez en la supply chain y cumplir con los compromisos de entrega.
Transportation Planning
Transportation planning implica coordinar y optimizar el movimiento de goods desde el punto de origen hasta el destino final. Esto incluye seleccionar carriers, planificar rutas, y gestionar la documentación necesaria. Es esencial considerar factores como costos, tiempos de tránsito, y reliability del carrier. La planificación efectiva del transporte asegura que los productos lleguen a tiempo y en buenas condiciones, minimizando costos y mejorando la satisfacción del cliente. Integrar sistemas de gestión de transporte (TMS) con APO/ECC puede mejorar la visibilidad y eficiencia en la supply chain.
</t>
  </si>
  <si>
    <t xml:space="preserve">In Rapid Response, how can I plan the introduction of a new source of supply in a packaging site as of a certain date in the future? </t>
  </si>
  <si>
    <t>To plan the introduction of a new source of supply in a packaging site as of a certain date in the future using Rapid Response, you can follow these steps:
1.	Create a Quota Arrangement Header:
o	In the Quota Arrangement header, enter the product number and specify the future date when the new source will become effective.
o	Note that the system will automatically set the Start Date to today’s date for the first quota. For subsequent quotas, the Start Date will be set to one day after the End Date of the previous quota.
2.	Define Multiple Quota Arrangements:
o	You can create multiple consecutive quota arrangements to model different sourcing periods for the same SKU. Each quota arrangement can have its own effective dates.
o	For example, you can have one quota arrangement effective from today until a specified future date, and another one starting immediately after the first one ends.
3.	Adjust Sourcing Modeling:
o	Within each quota period, you can adjust the sourcing model at the item level. This allows you to define how the supply will be sourced during each period.
4.	Set Effective Dates:
o	Ensure that the effective dates for each quota arrangement are correctly set to reflect the planned introduction of the new source. For instance, the first header might plan from today until a specific date, the second header from that date to another future date, and so on.
5.	Review and Commit Changes:
o	After setting up the quota arrangements, review the changes to ensure they align with your planning objectives.
o	Commit the changes in Rapid Response to make them effective.
Example Table Setup:
Here’s an example of how the quota arrangements might look in the system:Part Name	Part Description	Site	Start Date	End Date	Quota
1034238	KEYTRUDA SFI 100MG VIAL L89	1014	10-Mar-24	31-Oct-25	Quota
1034238	KEYTRUDA SFI 100MG VIAL L89	1014	1-Nov-25	31-Jan-26	Quota
1034238	KEYTRUDA SFI 100MG VIAL L89	1014	1-Feb-26	Future	Quota
Steps in Rapid Response:
1.	Navigate to the Quota Arrangement Header:
o	Enter the product number and the future effective date.
2.	Adjust the End Date:
o	Set the End Date for the current quota arrangement.
3.	Create Subsequent Quotas:
o	For each subsequent quota, set the Start Date to one day after the previous quota’s End Date.
4.	Model Sourcing Adjustments:
o	Adjust sourcing rules and targets within each quota period as needed.
By following these steps, you can effectively plan the introduction of a new source of supply at a packaging site in Rapid Response, ensuring that the transition is smooth and aligned with your overall supply chain strategy.</t>
  </si>
  <si>
    <t>Provide me with instructions on how to create a return of API material from a MSD International owned Plant to a 3rd party vendor.</t>
  </si>
  <si>
    <t xml:space="preserve">To create a return of API material from an MSD International owned plant to a 3rd party vendor, follow these instructions based on the provided context:
Step-by-Step Instructions:
1.	Identify the Need for Return:
o	Determine the need for the material to be returned to the vendor. This could be due to defects, surplus, or other reasons.
2.	Segregate and Block Stock:
o	If the material is defective, segregate the impacted material physically and systematically in the warehouse.
o	Ensure the material stock is blocked in SAP to prevent its use.
3.	Notify the Planner:
o	Inform the planner of the need to return the material, including the material number, reason for return, batch number, and quantity.
4.	Contact the Vendor:
o	The planner should contact the vendor regarding the defective material and determine if the vendor will take financial responsibility. If not, contact Procurement.
5.	Decide on Replacement or PO Changes:
o	Determine if replacement material is required or if an existing purchase order can be changed to accommodate the return.
6.	Obtain Return Authorization:
o	If the material will be returned, obtain the return authorization number from the vendor, their preferred carrier for the return, and confirm the return shipping address.
7.	Create Return Purchase Order (PO):
o	Ensure the vendor is set up as a customer in SAP.
o	Create a return PO in SAP (ME21N):
	Adopt each purchase requisition associated with this purchase order.
	Add the return authorization number and original PO number in the Header Text field.
	Mark items as return items in the Item Overview section.
	Enter Merck batch and vendor batch numbers in the Material Data tab.
	Change the stock type to Blocked stock in the Delivery tab.
	Confirm the delivery address matches the return address provided by the vendor.
	Save the PO.
8.	Coordinate Physical Return:
o	Send an email to the relevant warehouse and operations personnel with the return PO and necessary details:
	MSDS (for raw materials)
	Specific carrier identified by the vendor
	Account number to be charged
	Truck temperature requirements (if applicable)
	Vendor contact information
9.	Prepare Material for Shipment:
o	Consolidate the material to be returned based on the nature of the return and shipping conditions.
o	Initiate the systematic transfer of the material prior to physical movement.
o	Verify that the material is confirmed to the S-type of the warehouse transacting the return.
o	Prepare the material for shipment, ensuring it is in acceptable condition.
10.	Complete Shipping Documentation:
o	The shipping warehouse will complete the pack slip and create the delivery in SAP.
o	Complete the Post Goods Issue (PGI) and Bill of Lading (BOL).
Related SOPs and References:
•	SOP 21-PLN-410X: Vendor Return
•	SOP 03-PLN-312X: West Point Master Data Management
•	SOP 06-QUA-125AX: Event Data Collection and Assessment
•	SOP 21-W62-460X: Receiving
•	SOP 21.02: Delivery and Return of Raw Materials and Production Supplies
Ensure all steps are followed in accordance with the relevant SOPs and that all necessary documentation is completed and communicated to the appropriate parties.
</t>
  </si>
  <si>
    <t>How can I make sure the planned elements / Purchase Requisitions generated by the planning system respect the firmed horizon agreed with the External Manufacturer/CMO? What are the fields in ECC, APO and Rapid Response to be considered?</t>
  </si>
  <si>
    <t>To ensure that planned elements or Purchase Requisitions generated by the planning system respect the firmed horizon agreed with the External Manufacturer/CMO, you need to configure and monitor specific parameters in ECC, APO, and Rapid Response. Here are the fields and steps to consider in each system:
ECC (SAP ERP Central Component)
1.	Planning Time Fence (PTF)
o	T-Code: MM03
o	Field: MARC-FXHOR
o	Description: This field defines the period within which the system will not automatically create or change planned orders. It is maintained in workdays and should be set to reflect the firmed horizon agreed with the External Manufacturer/CMO.
APO (Advanced Planning and Optimization)
1.	PP/DS Planning Time Fence
o	T-Code: /SAPAPO/MAT1
o	Field: FIXHZ (PP/DS Plng Time Fence)
o	Description: This parameter defines the time period within which PP/DS heuristics will not run, effectively freezing the planning within this horizon. It should be set to match the firmed horizon.
2.	SNP Stock Transfer Horizon
o	T-Code: /SAPAPO/MAT1
o	Field: SNPSHIPH (SNP Stk Trn.Hor)
o	Description: This field defines the frozen period for SNP heuristics, preventing the generation of purchase requisitions within this horizon. It should be set according to the agreed firmed horizon with the External Manufacturer/CMO.
Rapid Response (RR)
1.	Planning Time Fence
o	Workbook: Part Properties
o	Tab: Sourcing – Lead Time Details
o	Field: Original Fence
o	Description: This field reflects the planning time fence for purchased materials, derived from the SNP Stock Transfer Horizon in APO. It ensures that planned orders respect the firmed horizon.
2.	Demand Time Fence (DTF)
o	Workbook: Part Properties
o	Tab: Planning Policies
o	Field: Demand Time Fence (Units and Date)
o	Description: This field is calculated based on the Forecast Horizon from APO and ensures that demand within this horizon is not considered for planning, aligning with the firmed horizon.
Steps to Ensure Compliance with Firmed Horizon
1.	Set the Planning Time Fence in ECC:
o	Use T-Code MM03 to set the MARC-FXHOR field to the agreed number of workdays for the firmed horizon.
2.	Configure the PP/DS Planning Time Fence in APO:
o	Use T-Code /SAPAPO/MAT1 to set the FIXHZ field on the PP/DS tab to reflect the firmed horizon.
3.	Set the SNP Stock Transfer Horizon in APO:
o	Use T-Code /SAPAPO/MAT1 to set the SNPSHIPH field on the SNP 2 tab to the appropriate number of calendar days, ensuring it matches the firmed horizon.
4.	Verify and Adjust in Rapid Response:
o	Check the Original Fence field in the Part Properties workbook under the Sourcing – Lead Time Details tab to ensure it reflects the SNP Stock Transfer Horizon.
o	Ensure the Demand Time Fence in the Planning Policies tab aligns with the Forecast Horizon from APO.
5.	Regular Monitoring and Adjustment:
o	Regularly review the planned elements and purchase requisitions to ensure they respect the firmed horizon.
o	Adjust the parameters as needed based on changes in agreements with the External Manufacturer/CMO.
By carefully setting and monitoring these fields in ECC, APO, and Rapid Response, you can ensure that the planning system respects the firmed horizon agreed with the External Manufacturer/CMO.</t>
  </si>
  <si>
    <t>Who is responsible for updating Safety Stock?</t>
  </si>
  <si>
    <t>The responsibility for updating safety stock involves multiple roles within the organization. According to the provided context:
1.	IBP Data Coordinator:
o	Runs the safety stock review proposal for all materials in scope based on the provided guidance.
o	Extracts the output in an Excel file.
2.	E2E Planning Team:
o	Reviews the proposal of new safety stock in Excel.
o	Evaluates the impact on the inventory plan.
o	Agrees with DF planners on whether to implement the proposal.
o	Evaluates the impact on the packaging plan for individual sites.
3.	DF Planning Team:
o	Reviews the proposed safety stock.
o	Informs the E2E team whether any strategic and policy stock must be added based on market requirements.
4.	Site Planning Team:
o	Reviews the volume impact on the site.
Additionally, the Master Data Management team is responsible for updating the system (APO) with the new safety stock values.
The overall process involves collaboration among these teams to ensure that the safety stock levels are accurately reviewed, agreed upon, and updated in the system.</t>
  </si>
  <si>
    <t>In what cases can we use safety lead time?</t>
  </si>
  <si>
    <t>Safety lead time can be used in the following cases:
1.	Finished Goods:
o	B2B/MTO (Business-to-Business/Make-to-Order): Should be maintained at the make location. It should not exceed 5 working days if Block Planning or Rhythm Wheels are used, and should not exceed 10 working days with standard planning. The current agreement is to use 10 working days for B2B items.
o	PTOF/MTS/NP (Plan-to-Order/Make-to-Stock/New Product): Should be maintained at the make location and should not exceed 5 working days.
2.	Bulks and APIs (Active Pharmaceutical Ingredients):
o	ExM Produced Materials: Safety stock lead time can be added to accurately reflect lead time agreements.
o	PTOF Bulks at Receiving Sites: The Planning Process Stewards must be informed of the use as it could potentially increase the expiry risk and change demand signals.
These guidelines ensure that safety lead time is used appropriately to buffer against fluctuations in supply and demand, while also considering the specific requirements and constraints of different product types and supply chain stages</t>
  </si>
  <si>
    <t>In what cases can we use safety lead time? And who may update this parameter?</t>
  </si>
  <si>
    <t xml:space="preserve">Based on the provided context, safety lead time can be used in the following cases:
1.	Finished Goods:
o	B2B/MTO (Make-to-Order): Should be maintained at the Make location. It should not exceed 5 working days if Block Planning or Rhythm Wheels are used, and should not exceed 10 working days with standard planning. The current agreement is to use 10 working days for B2B items.
o	PTOF/MTS/NP (Make-to-Stock): Should be maintained at the Make location and should not exceed 5 working days.
2.	Bulks and APIs:
o	ExM Produced Materials: Safety stock lead time can be added to accurately reflect lead time agreements.
o	PTOF Bulks at Receiving Sites: The Planning Process Stewards must be informed of the use as it could potentially increase the expiry risk and change demand signals.
Roles and Responsibilities for updating the safety lead time parameter:
•	E2E Planning: Responsible for determining the safety stock strategy and maintaining the parameter.
•	Site Planning: Must be informed and in agreement with the strategy/parameter.
•	B2B: Should be involved if the strategy changes.
These roles ensure that the safety lead time is set appropriately and that all relevant stakeholders are informed and aligned with the strategy.
</t>
  </si>
  <si>
    <t>In what cases can we use safety lead time? And who may update this parameter? Where and how to maintain or update this parameter</t>
  </si>
  <si>
    <t xml:space="preserve">Safety lead time can be used in the following cases:
1.	Finished Goods:
o	B2B/MTO: Should be maintained at the Make location. It should not exceed 5 working days if Block Planning or Rhythm Wheels are used, and should not exceed 10 working days with standard planning. The current agreement is to use 10 working days for B2B items.
o	PTOF/MTS/NP: Should be maintained at the Make location and should not exceed 5 working days.
2.	Bulks and APIs:
o	ExM produced materials: Safety lead time can be added to accurately reflect lead time agreements.
o	PTOF bulks at receiving sites: The Planning Process Stewards must be informed of the use as it could potentially increase the expiry risk and change demand signals.
Roles and Responsibilities for Updating Safety Lead Time
•	E2E Planning: Responsible for determining the safety stock strategy and maintaining the parameter.
•	Site Planning: Must be informed and agree with the strategy/parameter.
•	B2B: Should be involved if the strategy changes.
Where and How to Maintain or Update Safety Lead Time
In SAP APO:
1.	Transaction Code: /n/SAPAPO/MAT1
2.	Field: ZZSAF_STK_LEAD
3.	Tab: Extra – Additional Field Tab4
Steps:
1.	Navigate to the SAP APO material master using transaction code /n/SAPAPO/MAT1.
2.	Select the "Extra" tab.
3.	Go to "Additional Field Tab4".
4.	Locate the field labeled "Safety Stock Lead Time".
5.	Enter the desired number of working days for the safety lead time.
In Rapid Response:
Safety Stock Lead Time from APO is CIFed to Rapid Response in two locations in the Part Properties workbook:
1.	Sourcing - Lead Time Details tab:
o	Part Data group: Safety Time column
2.	Planning Policies tab:
o	Safety Stock group: Lead Time column
Steps:
1.	Open the Rapid Response Part Properties workbook.
2.	Navigate to the "Sourcing - Lead Time Details" tab.
3.	Locate the "Safety Time" column under the Part Data group.
4.	Enter the desired safety lead time value.
5.	Alternatively, navigate to the "Planning Policies" tab.
6.	Locate the "Lead Time" column under the Safety Stock group.
7.	Enter the desired safety lead time value.
Example Values:
•	Safety Time: 10 days (highlighted in Rapid Response screenshots)
•	Safety Stock Method: SZ (Safety lead-time method in SAP APO)
By following these steps, you can ensure that safety lead time is properly maintained and updated in both SAP APO and Rapid Response systems.
</t>
  </si>
  <si>
    <t>Who is responsible for updating safety stock?</t>
  </si>
  <si>
    <t xml:space="preserve">The responsibility for updating safety stock involves multiple roles:
1.	IBP Data Coordinator: Responsible for running the safety stock review proposal for all materials in scope and extracting the output in an Excel file.
2.	E2E Planning Team: Responsible for reviewing the proposal of new safety stock in Excel, evaluating the impact on the inventory plan, agreeing with DF planners on whether to implement the proposal, and evaluating the impact on the packaging plan for individual sites.
3.	DF Planning Team: Responsible for reviewing the proposed safety stock and informing the E2E team whether any strategic and policy stock must be added based on market requirements.
4.	Site Planning Team: Responsible for reviewing the volume impact on the site.
Additionally, the Master Data Management team is responsible for updating the system (APO) with the new safety stock values.
</t>
  </si>
  <si>
    <t>What steps do I need to take to perform a return shipment on bulk or API?</t>
  </si>
  <si>
    <t>To perform a return shipment on bulk or API, follow these steps based on the provided work instructions:
1.	Create a Return Sales Order (SO):
o	At the EMEA SC Hub, the Inventory &amp; Compliance team creates the Return SO upon request via a standard template and GoA approval.
o	Use the Credit Debit Request Form (CDRF) found in the shared network drive maintained by Demand Fulfillment.
o	Provide the following information to the Inventory &amp; Compliance team:
	Order type: ZIRE
	Sales Area: Sales Org/Distribution Channel linked to the original PO Receiving Plant
	Sold/ship to: IP customer (original Receiving Plant)
	Plant: original Shipping Location
	Reference document number (Return PO) and the original PO number
	Order reason (refer to the Knowledge Base folder of the Order to Cash Community of Practice)
	Material number, description, quantity, and batch number
o	Verify that the currency and value match the Return PO value.
2.	Create a Return Purchase Order (PO):
o	Use transaction ME21N in SAP.
o	Select the Purchase Requisition for the material to be returned.
o	Ensure the order type is NB (Standard P/O).
o	Enter the original PO number in the Header text and any additional notes useful for tracking.
o	Check the “Returns Item” checkbox on the item line.
o	Verify the vendor address and stock type in the Delivery tab.
o	Save the Purchase Order.
3.	Coordinate with Logistics:
o	For materials returned from outside the EU, route through location 1011 and ensure materials are extended in the system.
o	Return PO stock at 1011 is auto-blocked; contact Field Action Coordinators to execute MB1B and move stock to Unrestricted.
o	For intercompany ZIRE orders, obtain a signed Credit/Debit Request Form (CDRF) and attach formal supporting documentation.
4.	Prepare Documentation:
o	Ensure all required documents are attached to the shipment:
	Invoice (if ownership changed)
	Delivery note
	Packing list
	Certificate of Analysis (CoA)
	Certificate of Conformance (CoC) if required
	Certificate of Origin (if no invoices)
	Insurance (as applicable)
o	Archive copies of the documentation at the manufacturing site.
5.	Handle Physical Return:
o	Coordinate with the 3PL site for pack-out and loading of the Drug Substance.
o	Upon receipt, perform checks as per the relevant SOPs.
o	Complete sections C to E of the Off-site and Return Material Notification Form (MF-348).
o	Verify the Transport Service Provider is approved and active.
o	Check and verify SSM Shipper seal numbers against the 3PL pack list.
o	Transfer SSM Shipper pallets to the shipping staging area and unpack safely.
o	Only place two SSM shippers on the pack-out platform at a time.
6.	Finalize the Return:
o	Ensure the material is in the correct stock status (e.g., Blocked stock).
o	Process the return in SAP using the appropriate transactions.
o	Notify the relevant parties (e.g., Quality, Logistics) and ensure all steps are documented and compliant with the applicable SOPs.
By following these steps, you can ensure a smooth and compliant return shipment process for bulk or API materials.</t>
  </si>
  <si>
    <t>I'm just informed we need to return API to the external supplier. I don't know where to start. Which steps should I take to return the materials successfully to the external vendor?</t>
  </si>
  <si>
    <t xml:space="preserve">
To return API to an external supplier, you can follow these steps based on the provided Standard Operating Procedures (SOPs) and Work Instructions (WIs):
Step-by-Step Process for Returning API to an External Supplier
1.	Identify the Need for Return:
o	Determine the need for the material to be returned to the vendor. This could be due to defects, quality issues, or other reasons.
2.	Segregate and Block Stock:
o	If the material is defective after being received into inventory, physically and systematically segregate the impacted material.
o	Ensure the material stock is blocked in SAP to prevent its use.
3.	Notify the Planner:
o	Inform the planner of the need to return the material, including the material number, reason for return, batch number, and quantity.
4.	Contact the Vendor:
o	The planner should contact the vendor to discuss the defective material and determine if the vendor will take financial responsibility.
o	Obtain a return authorization number, the vendor's preferred carrier, and the return shipping address.
5.	Create Return Purchase Order (PO):
o	Use transaction ME51N in SAP to create a Return Purchase Requisition.
o	Change the document type to ZRET (Return Purchase Requisition).
o	Enter the material number, quantity, delivery date, and plant.
o	Save the requisition.
6.	Convert Requisition to Return PO:
o	Use transaction ME21N to create a Return PO from the requisition.
o	Ensure the order type is NB (Standard PO) and tick the “return” checkbox.
o	Enter the return authorization number and original PO number in the header text.
o	Mark the items as return items and enter the batch numbers.
o	Change the stock type to Blocked stock in the Delivery tab.
o	Save the PO.
7.	Coordinate Physical Return:
o	Send an email to the relevant warehouse personnel (e.g., B56, B62) with the return PO, MSDS (if applicable), specific carrier details, account number, and any temperature requirements.
o	Ensure the material is prepared for shipment and labeled correctly.
8.	Create Outbound Delivery:
o	Warehouse personnel should create an outbound delivery in SAP (refer to COMET SAP 21.12).
o	Pick and pack the material, ensuring it is labeled with the vendor name, address, and reference number.
o	Perform Post Goods Issue (PGI) to generate shipping documents.
9.	Complete the Return:
o	Ensure the material is loaded and the driver’s signature is obtained on the shipping documentation.
o	Verify the shipping paperwork against the material to ensure the correct transaction was performed.
10.	Follow-Up:
o	Track the return shipment and confirm receipt with the vendor.
o	Ensure the credit note is processed and matched to the Return PO.
Additional Notes:
•	Ensure all steps are documented and follow the specific SOPs and WIs referenced in your organization.
•	Coordinate with the Quality Department if the material is restricted or blocked due to quality issues.
•	Communicate with the vendor and internal stakeholders throughout the process to ensure smooth execution.
By following these steps, you can successfully return API to the external supplier while adhering to the required procedures and ensuring proper documentation and coordination.
</t>
  </si>
  <si>
    <t>I need to place a tri-trade order, but forgot how to make the Purchase Order reference in the PO. Can you please remind me what I exactly need to do?</t>
  </si>
  <si>
    <t>To make the Purchase Order reference in the PO for a tri-trade order, follow these steps:
1.	Go to Change Mode in Purchase Order 1:
o	Use the transaction code ME22N to enter the change mode for Purchase Order 1.
2.	Update the Header &gt; Communications &gt; Your Reference Field:
o	Navigate to the Header section of the PO.
o	Go to the Communications tab.
o	In the Your Reference field, enter “B-” followed by the number of PO2. For example, if PO2 is 4501530931, you would enter B-4501530931.
This process ensures that the two purchase orders are linked correctly, which is essential for the tri-trade order process.</t>
  </si>
  <si>
    <t>It is Monday, I am E2E Planner and need to perform the DILO/WILO activities for my product. Can you summarize the activities I need to do today?</t>
  </si>
  <si>
    <t xml:space="preserve">As an E2E Planner, your Monday activities according to the DILO/WILO schedule include the following:
1.	Expiry Analysis:
o	Review and mitigate expiry exceptions for planned elements.
o	Review and mitigate demand exceptions.
2.	Provide Feedback on Site Escalations:
o	Use SCEM (Supply Chain Exception Management) to provide feedback on site escalations.
3.	Network Exceptions:
o	Filter on Available Date, then Need Date: &lt;TODAY+84 days.
o	Review, resolve, process in Rapid Response, escalate via SCEM.
4.	MRP Exceptions:
o	Cancel and push-outs.
o	Review, resolve, process in Rapid Response, escalate via SCEM.
These activities ensure that you address any immediate issues related to expiry risks, demand exceptions, and network or MRP exceptions, and provide necessary feedback on escalations to maintain smooth operations.
</t>
  </si>
  <si>
    <t>How can I reserve a bulk batch for a finished good packaging in Rapid Response?</t>
  </si>
  <si>
    <t>Safety stock is maintained in the SAP/APO system, specifically in the Mat1 transaction under the Lot Size tab. The relevant fields for maintaining safety stock can be found in the "Quantity and Date Determination" section, where you can set safety stock either in days (preferred) or as a quantity (used for lumpy demand).
Responsibilities:
Regional Supply Planners: They are responsible for maintaining the safety stock values and can delegate this task to Demand Fulfillment (DF).
E2E Planner: Accountable for coordinating with DF, Demand Planning (DP), and sites to ensure that the calculated safety stock meets market requirements.
Key Instructions:
Safety stock should be maintained in days by default, with quantity-based safety stock used only for lumpy demand.
The safety stock method (e.g., SZ for safety days of supply) should be set appropriately in the system.
Example Values:
Safety Days’ Supply: 20.00 (days-based)
Safety Stock: 4,400 (quantity-based)
Safety Stock Method: SB
System Navigation:
SAP/APO Mat1 Transaction: Navigate to the Lot Size tab and then to the "Quantity and Date Determination" section to set the safety stock values.
By following these guidelines, you can ensure that safety stock is properly maintained in the system and that the responsible parties are aware of their roles in managing it.</t>
  </si>
  <si>
    <t>Can you tell me which are the steps to perform the annual Inventory Plan?</t>
  </si>
  <si>
    <t>The steps to perform the annual Inventory Plan, as outlined in Merck's Standard Business Procedure for Inventory Management, are as follows:
Agree Inventory Plan (Annual Cycle) (ID: 2.3.1.9)
Task Objective: Evaluate project ideas and plans to meet financial targets and take them to the IBP Supply Review for approval.
Timing: In line with annual budgeting or as any improvements are identified.
Frequency: Annually or as improvements are identified.
Tasks:
The Supply Planner presents the summary of the inventory plan for the coming year (or amendments to the plan if between budget cycles) at the IBP Supply Review.
The IBP Supply Review signs off the projects identified and agrees on the quarterly targets for the coming year.
Input:
Inventory improvement plan to meet financial targets.
Any inventory improvement ideas evaluated and built into the plan.
Output:
Approved inventory plans and projects.
Approved inventory targets per quarter for the coming year.
Document Agreed Annual Plan, with Quarterly Targets (ID: 2.3.1.10)
Task Objective: Clearly document decisions on inventory targets from the IBP Supply Review.
Timing: Following decisions made in the IBP Supply Review.
Frequency: Annually or as improvements are identified.
Tasks:
Based on the decision made by the IBP Supply Review, the Supply Planner works with the Finance Planner to document the agreed inventory plan for the coming 12 months.
This documentation includes the quarterly targets, which should be built into the financial budget and plans.
Communicate to the relevant stakeholders the projects that need to be completed to meet the plan.
Input:
Approved inventory plans and projects.
Approved inventory targets per quarter for the coming year.
Output:
Documented inventory plan per quarter for the coming year, with details of improvement projects to be delivered.
These steps ensure that the annual inventory plan is aligned with financial targets, approved by the IBP Supply Review, and clearly documented and communicated to all relevant stakeholders.</t>
  </si>
  <si>
    <t>Which are the different lead time buckets and their meaning?</t>
  </si>
  <si>
    <t>Can you tell me how to perform an expiry risk for the product I am responsible for?</t>
  </si>
  <si>
    <t>To perform an expiry risk assessment for the product you are responsible for, follow these steps based on the provided context:
Open the Planning Sheet:
Use the 'Supply Planning' scenario.
Apply the SKU filter for your specific portfolio.
Ensure you are viewing all sites.
Identify Stock with Expiry Risk:
Navigate to the 'Supply Orders' tab.
Set column filters for 'Supply Quantity – Expiring' as '&gt;0'.
Filter 'Order Details – Type' to include relevant types such as 'OnHand', 'In-Transit', 'Open-in-dlv', 'Open-in-dlv-past', etc.
Review Expiry Dates:
Check the 'Expiry Date' column for each supply order.
Compare the 'Expiry Date' of the supply with the 'Earliest Expiry Date' of the demand.
If the 'Expiry Date' of the supply is earlier than the 'Earliest Expiry Date' of the demand, it indicates an expiry risk.
Analyze and Mitigate Expiry Risk:
For stock in quality release, in-transit, or on-hand, use the Rapid Response system to identify and mitigate risks.
For stock in quality release, apply filters in the 'Supply Orders' tab to show orders where 'Supply Quantity – Expiring' is '&gt;0' and 'Order Details – Type' is 'QMlot'.
For stock in transit, apply filters to show orders with 'Supply Quantity – Expiring' as '&gt;0' and 'Order Details – Type' as 'In-Transit', 'Open-in-dlv', 'Open-in-dlv-past'.
For on-hand stock, apply filters to show 'Supply Quantity – Expiring' as '&gt;0' and 'Supply – Kind' as 'OnHand'.
Use the Pegged Supply Allocation Worksheet:
Check the 'Pegged Supply Allocation' worksheet in the Planning Sheet WB.
Verify the 'Expiry Date' of the supply assigned to a demand element.
Ensure the 'Expiry Date' of the supply is not earlier than the 'Earliest Expiry Date' of the demand.
Communicate and Document:
Communicate with Demand Fulfillment (DF) or End-to-End (E2E) teams via the SCEM tool if needed.
Document any actions taken, including action codes, dates, and initials, directly in Rapid Response.
Use the 'Exception Escalation' scenario to add notes and track adherence to the process.
Review and Process Exceptions:
Review exceptions on a weekly basis (e.g., Monday/Tuesday).
Process exceptions and place comments directly in Rapid Response at the SKU level.
Ensure that 'Escalate' and 'Feedback' columns are not used unless specified.
By following these steps, you can effectively identify, analyze, and mitigate expiry risks for the product you are responsible for.</t>
  </si>
  <si>
    <t>I am new to the SCM community in MSD, where can I find onboarding material as and E2E planner?</t>
  </si>
  <si>
    <t>What do I have to do to execute an intercompany return?</t>
  </si>
  <si>
    <t>To execute an intercompany return, you need to follow these steps:
Create a Return Purchase Order (P/O):
Purpose: To allow Goods Issue (GI) out of the plant where the stock is located.
Order Creation: Created by the Planning of the region holding the stock.
SAP Transaction: Use T-code ME51N to manually create a purchase requisition.
Order Type: NB Standard P/O.
Vendor: Use the IP vendor (original shipping plant).
Delivery Plant: The plant where the stock is located and shipped from.
Return Checkbox: Ensure to tick the “return” checkbox.
Create an Intercompany Return Sales Order (S/O):
Purpose: To allow Goods Receipt (GR) at the plant where the stock is delivered and to generate the Credit Note invoice.
Order Creation: Created by the region receiving the return request. For Bulk &amp; API, the Return Sales Order is created by Inventory &amp; IQV Management CoE.
Order Type: ZIRE.
Sales Area: Sales Org/Distribution Channel linked to the original PO.
Sold/Ship To: IP customer (original receiving plant).
Plant: The plant where the stock is received against the return flow.
Additional Steps:
Credit Debit Request Form (CDRF): The receiving region must fill out a CDRF.
Service Desk Request: For the Intercompany Return SO, a request to the Service Desk may be required.
Master Data Setup: Ensure the IP vendor is enabled as a Return Vendor in the Vendor Master (TCode MK03).
Process Flow:
Shipping Plant: Initiates the Return P/O.
Receiving Plant: Processes the Intercompany Return SO and completes the GR.
By following these steps, you can successfully execute an intercompany return in SAP.</t>
  </si>
  <si>
    <t>Can you tell me wat is a Financial supply chain map and where  I can find the one of the product I am responsible?</t>
  </si>
  <si>
    <t>A Financial Supply Chain (FSC) Map documents the financial flow of materials within the supply chain. It is created and managed by the Intercompany Center of Excellence (COE) to ensure that the transactional flow aligns with the planning supply chain maps. The FSC map includes details such as financial movements, ownership transfers, and intercompany fee transactions.
To find the FSC map for the product you are responsible for, you can refer to the following resources:
Planner U: Check the Planning Guides folder on Planner U for product-specific planning guides. For example, you can review the Cubicin Planning Guide presentation for the FSC map of Cubicin RF.
Intercompany Team: Always check with the Intercompany team for the financial flow. You can contact them at Intercompany.FSC.Pricing.AP.EMEA@merck.com.
Supply Chain Maps: Review the Supply Chain Maps for each product on Planner U. For example, the Cancidas Planning Guide presentation provides the supply chain flow for Cancidas.
If you need further assistance, you can also refer to the Tri-Trade Orders and How to Use Financial Supply Chain Maps presentations available on Planner U.</t>
  </si>
  <si>
    <t xml:space="preserve">What is the escalation proceed in SCM and as an E2E planner what am I expect to do when I face a supply issue for the product I am responsible? </t>
  </si>
  <si>
    <t>The escalation procedure in Supply Chain Management (SCM) is structured to handle supply issues at various levels—local, regional, and global—based on the scope and impact of the issue. Here is a detailed breakdown of the escalation process and the responsibilities of an End-to-End (E2E) Planner when facing a supply issue:
Escalation Procedure in SCM
Local Level (Site/CMO Planner)
Identify and Review Exceptions: Review generated exception messages to identify supply issues.
Determine Root Cause: Analyze the root cause of the exception.
Resolve Locally: If a solution is available, resolve the issue and update the supply plan.
Escalate if Unresolved: If the issue cannot be resolved locally, escalate it to the next tier.
Tier 2 (Bulk/API or FG)
Review and Resolve Escalated Exceptions: Discuss and attempt to resolve escalated exceptions at the Tier 2 level.
Escalate Further if Needed: If the issue impacts more than one market or cannot be resolved at Tier 2, escalate to regional or global levels.
Regional Level (Tier 4)
Resolve Regional Constraints: Address regional or global material, capacity, or expiry constraints.
Modify Parameters: Adjust dependent demand and inventory parameters as needed.
Escalate to Tier 4: If unresolved, escalate to Regional or Therapeutic Tier 4 for further review and resolution.
Global Level (Tier 5 and Above)
Review and Resolve at Tier 4: Regional Tier 4 reviews exceptions and informs Commercial; Therapeutic Tier 4 reviews and resolves exceptions.
Manage Allocation and Packaging: Manage extended packaging plans and firm up packaging as part of allocation.
Escalate to Tier 5: If the issue cannot be resolved at Tier 4, escalate to Tier 5 for higher-level support and resolution.
Responsibilities of an E2E Planner
As an E2E Planner, you are responsible for managing the supply chain for the products you oversee. When you face a supply issue, you should follow these steps:
Review and Analyze Metrics: Regularly review, investigate, and analyze your supply chain metrics to identify potential issues.
Identify and Diagnose Issues: When a supply issue arises, determine the root cause and assess the impact on the supply chain.
Attempt Local Resolution: Work with site planners and demand fulfillment to resolve the issue locally if possible.
Escalate if Necessary: If the issue cannot be resolved locally, escalate it to the appropriate tier based on the scope and impact:
Tier 2: For issues that affect multiple markets or cannot be resolved at the site level.
Regional/Tier 4: For broader regional or global constraints.
Tier 5 and Above: For issues requiring higher-level support or cross-functional resolution.
Communicate and Collaborate: Keep relevant stakeholders informed, including site planners, demand fulfillment, and regional planners. Collaborate with them to find solutions and mitigate the impact.
Update Supply Plans: Once the issue is resolved, update the supply plans to reflect the changes and ensure alignment with overall supply chain objectives.
Participate in Governance Meetings: Attend and contribute to governance meetings at various tiers to discuss and resolve escalated issues.
By following these steps, you can effectively manage supply issues and ensure a smooth and efficient supply chain for the products you are responsible for.</t>
  </si>
  <si>
    <t>What does consolidate cost mean, how can I access to this information as E2E planner and how does it affect my role?</t>
  </si>
  <si>
    <t>In which system can we change the priority of the BOM version and who is responsible the E2E planner or the site planner ?</t>
  </si>
  <si>
    <t xml:space="preserve">The priority of the VOM (Production Version) can be changed in the SAP ECC system. The responsibility for changing the priority lies with the Site Planner. This is indicated by the process where the Site Planner changes the priority to 99 in ECC, as described in the context of managing Production Versions and their priorities.
Here is the relevant excerpt:
•	System: SAP ECC
•	Responsible: Site Planner
•	Process: The Site Planner changes the Priority to 99 in ECC.
This ensures that the correct Production Version is used for planned orders, and the E2E Planner is involved in creating a Quota Arrangement in APO to manage the transition between Production Versions.
</t>
  </si>
  <si>
    <t>how to find the total lead time of a product and where in the system to find them ?</t>
  </si>
  <si>
    <t>To find the total lead time of a product and where to locate these parameters in the system, you can follow these steps based on the provided context:
Steps to Find Total Lead Time
1.	Identify Lead Time Components:
o	Make Lead Time: Time to respond to unplanned demand, typically aligned with the PP/DS Horizon for packaging sites.
o	Pre-ship Lead Time: Time required to prepare supply for shipment (BuildDate to ShipDate).
o	Transit Time: Time required to ship supply from the sourcing site to the destination site (ShipDate to DockDate).
o	Dock to Stock Lead Time: Time needed to move the order from the receiving dock into available inventory (DockDate to DueDate).
o	Safety Lead Time: Buffer time added to supplies to guard against fluctuations in supply and demand (DueDate to DemandDate).
2.	Calculate Total Lead Time:
o	Sum the individual lead time components relevant to the product type (Make, Transfer, Buy).
o	For example, for a Transfer product: Total Lead Time = Pre-ship Lead Time + Transit Time + Dock to Stock Lead Time.
Where to Find Lead Time Parameters in the System
1.	SAP APO:
o	Transaction Code: /SAPAPO/MAT1
o	Tab: Extra
o	Fields: Make Lead Time, Pre-ship Lead Time, Transit Time, Dock to Stock Lead Time.
2.	Rapid Response (RR):
o	Workbook: Part Properties
o	Tab: Sourcing – Lead Time Details
o	Fields: Fixed Lead Time, Safety Lead Time, Variable Lead Time, Pre-ship Lead Time, Transit Time, Dock to Stock Lead Time.
Detailed Instructions
In SAP APO:
1.	Navigate to Transaction: /SAPAPO/MAT1.
2.	Select the Material: Enter the material number for which you want to find the lead time.
3.	Go to the Extra Tab: This tab contains fields related to lead time.
4.	Review Lead Time Fields: Look for fields such as Make Lead Time, Pre-ship Lead Time, Transit Time, and Dock to Stock Lead Time.
In Rapid Response:
1.	Open the Part Properties Workbook: Navigate to the Supply Planning section and select the relevant part.
2.	Right-click on the Part: Select “Part Properties” from the context menu.
3.	Navigate to Sourcing – Lead Time Details Tab: This tab contains detailed lead time components.
4.	Review Lead Time Fields: Check fields such as Fixed Lead Time, Safety Lead Time, Variable Lead Time, Pre-ship Lead Time, Transit Time, and Dock to Stock Lead Time.
Example Calculation
Assume you have the following lead times for a Transfer product:
•	Pre-ship Lead Time: 5 days
•	Transit Time: 8 days
•	Dock to Stock Lead Time: 3 days
Total Lead Time = Pre-ship Lead Time + Transit Time + Dock to Stock Lead Time Total Lead Time = 5 days + 8 days + 3 days = 16 days
Summary
To find the total lead time of a product, sum the relevant lead time components (Make, Pre-ship, Transit, Dock to Stock, Safety). Use SAP APO (/SAPAPO/MAT1 Extra tab) or Rapid Response (Part Properties workbook, Sourcing – Lead Time Details tab) to locate these parameters.</t>
  </si>
  <si>
    <t>can you describe the process of the creation of a new SKU for a launch?</t>
  </si>
  <si>
    <t xml:space="preserve">The process of creating a new SKU for a launch involves several steps and coordination among various teams. Here is a detailed description based on the provided context:
Steps for New SKU Creation for a Launch
1.	Receive SKU Number
o	The process begins with the receipt of a new SKU number. This number is typically provided by the local marketing team, regional portfolio management team, regional demand management team, or demand fulfillment team.
2.	Check if SKU Number is Extended to Your Plant
o	Verify whether the SKU number is extended to the relevant plant. This ensures that the SKU is recognized and can be processed within the plant's systems.
3.	Fill CSV File
o	The market fills out the 'New Products Template' with the combinations they would like to forecast in Rapid Response. The template includes fields such as:
	PSF_Code: COMET Material code
	SALES_ORG: Sales Organization
	DELIVERING PLANT: Forecasting Plant
	CUSTOMER: Customer number
	CUSTOMER GROUP: Customer Group
	Ship to country: Ship-to country
	Province: Default: “N/A”
	CALMONTH: Format: [yyyymm] – Always use [Current month + 1]
	SO Qty: Default: 0
	BUOM (units of measure): Default: “EA”
	Transit Org: GHH__[2 digit Country-code] e.g., “GHH_AE”
4.	Load CSV File to Unix Server
o	The completed CSV file is then uploaded to a Unix server. This step ensures that the data is available for further processing and integration into the relevant systems.
5.	Activate SKU and Place Forecast to Rapid Response
o	Open Rapid Response: Access the Rapid Response system.
o	Create a Private Scenario in Demand Planning: Set up a private scenario within the Demand Planning module.
o	Open Merck Demand Planning Parameters Workbook: Access the specific workbook for demand planning parameters.
o	Select Your Private Scenario and Plant: Configure the data settings to include the private scenario and the relevant plant.
o	Select ForecastItem Control: Enable the forecast checkbox for the relevant material number in the ForecastItem Control tab.
o	Save: Save the changes.
o	Open Merck Consensus Demand Planning Workbook: Access the consensus demand planning workbook.
o	Place Forecast, Save, and Commit Your Private Scenario: Enter the forecast data, save the scenario, and commit it to the system.
Additional Considerations
•	Master Data Requirements: Ensure that all necessary master data is complete, correct, and up-to-date. This includes material codes, dimensions, weights, and other relevant attributes.
•	Regulatory and Quality Checks: Coordinate with regulatory and quality teams to ensure compliance with local and global standards.
•	Communication and Coordination: Keep all relevant stakeholders informed throughout the process, including supply planners, demand planners, and logistics teams.
•	System Integration: Ensure that the new SKU is integrated into all relevant systems, including SAP, Rapid Response, and any other planning or execution systems.
Summary
The creation of a new SKU for a launch involves a structured process that includes receiving the SKU number, verifying its extension to the plant, filling out and uploading a CSV file, and activating the SKU in the Rapid Response system. This process requires coordination among various teams and adherence to master data and regulatory requirements to ensure a successful product launch.
</t>
  </si>
  <si>
    <t>who is responsible to place PO for API, bulk and FIGO for a CMO site?</t>
  </si>
  <si>
    <t>The responsibility to place Purchase Orders (PO) for API, bulk, and Finished Goods (FIGO) for a Contract Manufacturing Organization (CMO) site lies with the Supply Management CMO/Chem supply planner. According to the provided context, the Supply Management CMO/Chem supply planner is accountable for creating and managing POs, as well as communicating replenishment requirements to the CMO. This role includes monitoring services, following up on-time deliveries, managing inventory at the CMO, and ensuring the appropriate parameters are maintained for purchase plan generation.</t>
  </si>
  <si>
    <t>for a launch, how the responsibilities are split between a Global Launch Planner and a E2E planner?</t>
  </si>
  <si>
    <t xml:space="preserve">Based on the provided context, the responsibilities for a launch are split between the Global Launch Planner and the End-to-End (E2E) Planner as follows:
Global Launch Planner Responsibilities:
1.	Overall Leadership and Coordination:
o	Responsible for leading and coordinating the cross-functional/cross-divisional launch team.
o	Set high-level launch supply strategy linked to the Human Health (HH) launch strategy.
o	Develop high-level packaging plans for launch and post-launch.
o	Manage overall project timelines, facilitate resolution of competing priorities, and mitigate risks impacting launch timelines.
o	Communicate launch status updates and escalate risks or support needs.
o	Act as the New Products Planning lead for the end-to-end supply chain.
2.	Communication and Escalation:
o	Ensure effective communication of launch status updates.
o	Escalate risks and issues that may impact the launch timeline.
3.	Project Management:
o	Oversee the project management of the cross-functional project timeline.
o	Facilitate the resolution of competing priorities and mitigate risks that may impact launch timelines.
E2E Planner Responsibilities:
1.	Supply Chain Management:
o	Manage the supply of a product through the nodes in the network and set parameters based on replenishment strategies.
o	Ensure the supply chain is aligned with the demand plan and inform stakeholders if there are discrepancies.
o	Review and analyze metrics on a monthly basis to understand the supply chain health.
o	Prepare and provide global supply review scorecards and dashboards.
2.	Exception Management:
o	Address risks and opportunities on supply chain metrics and define actions to improve.
o	Manage exceptions for unfirmed supply elements and escalate issues through the Tier and Integrated Business Planning (IBP) process.
3.	Coordination and Collaboration:
o	Work with site planners to ensure site packaging readiness and manage detailed packaging, release, and shipping plans.
o	Collaborate with regional supply planners to manage the local site supply review process.
o	Ensure bulk, API, DS, or DP is available at the site for manufacturing.
4.	Parameter Management:
o	Own and drive changes in parameters for the end-to-end supply chain.
o	Maintain accurate planning parameters and ensure they are reflected in the planning systems.
5.	Performance Monitoring:
o	Monitor service level and inventory exceptions.
o	Review supply and inventory performance metrics, identify issues, and propose improvement opportunities.
Summary:
•	The Global Launch Planner focuses on high-level strategy, coordination, communication, and overall project management for the launch.
•	The E2E Planner is responsible for the detailed supply chain management, exception handling, parameter management, and performance monitoring to ensure the supply chain operates smoothly and meets the launch requirements.
Both roles are critical for a successful launch, with the Global Launch Planner setting the strategic direction and the E2E Planner ensuring the operational execution aligns with the strategy.
</t>
  </si>
  <si>
    <t>What are the planning exception a E2E planner has to solve?</t>
  </si>
  <si>
    <t xml:space="preserve">Based on the provided context, the planning exceptions that an E2E (End-to-End) planner has to solve include:
1.	Demand Exceptions:
o	E2E planners are responsible for leading the resolution of demand exceptions due to their impact on demand propagation across the planning process.
2.	Network Exceptions:
o	These exceptions involve issues that affect the demand within the supply network. E2E planners need to review and resolve these to avoid stock-outs or late supplies.
3.	Min and Max (Pull-in &amp; Availability) Exceptions:
o	E2E planners need to review items that fall below the minimum or exceed the maximum inventory levels. This involves using the Stock Inventory Exception workbook to identify and address these exceptions.
4.	Expiry Risk for Non-Firmed Elements:
o	E2E planners must monitor and mitigate the risk of expiry for elements that are not yet firmed in the planning process.
5.	MRP Actions for Transfer Elements:
o	E2E planners are responsible for reviewing all MRP (Material Requirements Planning) actions related to transfer elements, both planned and firmed.
6.	Purchase Requisitions (Preq’s):
o	E2E planners manage purchase requisitions, ensuring that these are processed correctly and in a timely manner.
7.	Exceptions Impacting Multiple Markets:
o	E2E planners focus on exceptions that affect multiple markets, ensuring that these are resolved to prevent widespread disruptions.
8.	Exceptions in the Free Zone:
o	E2E planners review exceptions that occur in the free zone (beyond the immediate planning horizon) to proactively address potential issues.
9.	Material Shortages and Capacity Constraints:
o	E2E planners need to address material shortages and capacity constraints that could impact the supply chain.
10.	Regulatory Issues:
o	E2E planners must resolve exceptions related to regulatory compliance that could affect the supply chain.
11.	Logistics Capacity Issues:
o	E2E planners handle exceptions related to insufficient logistics capacity that could delay or disrupt supply.
12.	Component Shortages:
o	E2E planners need to address shortages of components required for production.
13.	Above Inventory Upper Limit:
o	E2E planners must manage exceptions where inventory levels exceed the upper limit, ensuring that stock levels are optimized.
These exceptions require E2E planners to assess, resolve, and communicate effectively with stakeholders to maintain a smooth and efficient supply chain.
</t>
  </si>
  <si>
    <t>how to reflect a source change in the planning?</t>
  </si>
  <si>
    <t>To reflect a source change in planning, follow these steps based on the provided context:
1.	Create/Update Quota Arrangements:
o	If dual sourcing is required, create a Quota Arrangement header with multiple items to define the split percentages between sources. For example, if PV 0040 is assigned 80% and PV 0050 is assigned 20%, the system will plan accordingly.
o	If the source change needs to be immediate and horizon-wide, avoid creating Quota Arrangements. Instead, adjust the PDS priorities in ECC:
	Set the PDS-priority for the old source to 99.00.
	Set the PDS-priority for the new source to 1.00.
o	This ensures the system assigns the new source to all planned orders regardless of the due date.
2.	Update Planning BOMs:
o	Request the Local Master Data Management team to create a new Planning BOM for the existing Finished Good material number.
o	Create a new Alternative BOM (Alt BOM) and ensure it includes necessary components.
o	Create a new version of the Recipe and link it to the new Alt BOM and Production Version.
3.	Maintain PDS-Priority:
o	Ensure the PDS-Priority is set correctly:
	1.00 for the old source.
	99.00 for the new source.
o	This prevents the system from immediately planning with the new source until a Quota Arrangement is created.
4.	Create Source List and T-Lane:
o	The Regional Master Data Management team should create the Source List and T-Lane in ECC, linking the receiving plant and the vendor.
5.	Model Cutover Dates:
o	Update the Quota Arrangement if changes impact the expected cutover date due to demand changes, inventory availability, or regulatory approvals.
6.	Finalize BOM:
o	Once the new source is approved and ready for production, finalize the Alt BOM and ensure it is aligned with the cutover date in the Quota Arrangement.
7.	Run Reports and Monitor:
o	Regularly run reports (e.g., BOM Status 12 report) to ensure no planned orders remain with outdated BOM statuses and to monitor the implementation of the source change.
By following these steps, you can effectively manage and reflect a source change in the planning process, ensuring a smooth transition from the old source to the new source.</t>
  </si>
  <si>
    <t>How often the planning runs in ECC ?</t>
  </si>
  <si>
    <t>The planning runs in ECC occur on a daily basis. This is indicated in the context of the daily conversion of Planned Orders to Process Orders and the daily follow-up to determine progress on the shopfloor. Additionally, the extracted content mentions that the ECC MRP generates component requirements and exception messages on purchasing requirements for components, which implies a regular, likely daily, planning run to keep the system updated with the latest requirements and exceptions.</t>
  </si>
  <si>
    <t>who is responsible to create a return sales order ?</t>
  </si>
  <si>
    <t xml:space="preserve">he responsibility to create a Return Sales Order (SO) varies depending on the specific scenario and region:
1.	Intercompany Return Sales Order:
o	The Inventory &amp; IQV Management CoE is responsible for creating the Return SO based on a submitted and signed Credit Debit Request Form (CDRF). They also create the delivery note and perform the Goods Receipt (PGR).
2.	EMEA SC Hub:
o	The Inventory &amp; Compliance team creates the Return SO for API and Bulk material upon request via a standard template and upon GoA approval.
3.	General Intercompany Return:
o	The Region receiving the return is responsible for creating the Intercompany Return SO. The exact role responsible for the creation might change from region to region.
4.	Specific Example:
o	For Bulk &amp; API Return Sales Orders, they are created by the Inventory &amp; IQV Management CoE.
In summary, the creation of a Return Sales Order is typically handled by specialized teams such as the Inventory &amp; IQV Management CoE or the Inventory &amp; Compliance team, depending on the material type and regional processes.
</t>
  </si>
  <si>
    <t xml:space="preserve">
To reserve a bulk batch for a finished good packaging in Rapid Response, follow these steps:
Filter the Pharmanet Report:
Ensure you are only looking at Plainfield inventory by filtering the WHSE column for “STAN”.
Filter Column D (Condition) for “CDC Stockpile”.
Insert or Modify a Record in Rapid Response:
Use the inventory export from Pharmanet as a guide for the batches and quantities that need to be reserved.
In Rapid Response, select the option to insert a new record.
Fill Out the Required Fields:
Batch Number: Use the Lot Numbers from Column E of the Pharmanet Report.
Part: Enter the part number (e.g., 1046442).
Site: Enter the site number (e.g., 1899).
Quantity: Enter the total quantity of the specific batch reserved from Column G (Warehouse Qty) of the Pharmanet Report.
Blocked: Set this field to “Y” if the batch is to be blocked.
MSL Offset: Set this to 0.
Save and Close:
After filling out the fields, save and close the record.
Complete the Process:
Follow the steps outlined in the Batch Expiry Management Work Instruction to modify or delete existing records if necessary.
Commit your scenario as per the Batch Expiry Management Work Instruction.
Verify the Reservation:
The next day, check the Planning Sheet in Rapid Response to ensure the batches you reserved show the status “RRBlocked” in the OnHand tab.
Be aware that the system may duplicate the blocked batches, which can be seen in the Number column in the OnHand tab.
By following these steps, you can reserve a bulk batch for finished good packaging in Rapid Response, ensuring that the inventory is correctly allocated and visible in the system.</t>
  </si>
  <si>
    <t>Where do I maintain the Safety Stock in the system and who is responsible for it?</t>
  </si>
  <si>
    <t>The lead time buckets and their meanings are as follows:
Internal Production Plant Buckets
PP1:
Parameter: GR Processing Time
Start: Incoming goods receipt
End: Usage decision made
Description: Time from receipt of material until a usage decision is made, including goods receipt and quality inspection.
PP2:
Parameter: Safety Days’ Supply
Start: Usage decision made
End: Process order release
Description: Inventory time from usage decision to process order release, influenced by safety stock.
PP3:
Parameter: Oper. LT offset; Lead-time offset
Start: Process order release
End: Start of production
Description: Time between process order release and production start, determined by lead-time offsets.
PP4:
Parameter: In-house production
Start: Start of production
End: End of production
Description: Production time in working days, largely determined by the run rate.
PP5:
Parameter: GR Processing Time
Start: End of production
End: Usage decision made
Description: Time from process order technical completion to Quality usage decision, including operations document preparation and quality review.
PP6:
Parameter: Safety Days’ Supply
Start: Usage decision made
End: Outbound delivery creation
Description: Inventory time from usage decision to outbound delivery creation, influenced by safety stock.
PP7:
Parameters: P/P tm WD (ECC TVST table); LT w.days (ECC T630L table)
Start: Outbound delivery creation
End: Post goods issue (PGI)
Description: Time for physical pick and pack of materials and shipping document preparation.
PP8:
Parameter: TransitDur (ECC TVRO table – middle two digits of Route)
Start: Post goods issue (PGI) at sending site
End: Incoming post goods receipt (PGR) at receiving site
Description: Transit time from the sending site to the receiving site.
Distribution Center Bucket
DC1:
Parameters: GR Processing Time; Safety Days’ Supply
Start: Goods receipt at dock
End: Post goods issue (PGI)
Description: Time from goods receipt at the distribution center to when the batch is fully sold, including goods receipt processing and safety stock inventory time.
External Manufacturing Plant Buckets
ExM1:
Parameters: GR Processing Time; Oper. LT offset; In-house production
Start: Goods receipt of input
End: Inspection lot creation of output
Description: Time from receiving input material to production output inspection lot creation, including goods receipt, sub-contracting purchase order creation, production run, and output goods receipt.
ExM2:
Parameter: GR Processing Time
Start: Inspection lot creation
End: Usage decision made
Description: Time from inspection lot creation to Quality usage decision, excluding operations document preparation time.
ExM3:
Parameter: Safety Days’ Supply
Start: Usage decision made
End: Outbound delivery creation
Description: Inventory time from usage decision to outbound delivery creation, influenced by safety stock.
ExM4:
Parameters: P/P tm WD (ECC TVST table); LT w.days (ECC T630L table)
Start: Outbound delivery creation
End: Post goods issue (PGI)
Description: Time for physical pick and pack of materials and shipping document preparation.
ExM5:
Parameter: TransitDur (ECC TVRO table – middle two digits of Route)
Start: Post goods issue (PGI) at sending site
End: Incoming post goods receipt (PGR) at receiving site
Description: Transit time from the sending site to the receiving site.
These lead time buckets are used to segment and measure different phases of the supply chain process, ensuring accurate tracking and optimization of lead times across various stages of production, distribution, and external manufacturing.</t>
  </si>
  <si>
    <t xml:space="preserve">As a new E2E planner in the SCM community at MSD, you can find onboarding material in several places:
SCM Learning Hub:
The SCM Learning Hub offers various tools and programs for employees to build their development plans. You can start by finding the relevant role in the "My Development" section and going through the provided materials.
Planner U:
Planner U is a resource where you can find training presentations, supply chain maps, and other relevant materials. For example, you can review the "Key Planning Concepts" presentation and the "Supply Chain Maps" for each product in the Planning Guides folder.
Demand Planning Community of Practice in Microsoft Teams:
This team provides access to training materials related to RapidResponse (RR) and other planning tools. You can navigate to the "General" channel and click on the "Files" tab to find folders with training materials.
Demand Planning &amp; Management Wiki:
This wiki serves as a hub with links to DPDM Standard Work, system access, tickets, Communities of Practice (CoPs), Supply Chain Analytics, and more.
Demand &amp; Supply Planning Hub:
This hub contains links to all other workstreams resources, wikis, and training materials.
Demand Planning SharePoint:
This SharePoint site includes community files, CoP slides, PowerHours, training materials, templates, and organizational information.
MyLearning:
You can search for and self-assign the required curriculum for E2E planners. For example, you can look for the curriculum titled "E2E/SNP community (EMEA hub-Lucerne)" and complete the relevant training modules.
By utilizing these resources, you can access the necessary onboarding materials and training to get started in your role as an E2E planner.
</t>
  </si>
  <si>
    <t>Definition: Consolidated cost refers to the aggregated cost data for inventory items, which includes various cost components such as material, labor, and overhead costs. These costs are consolidated from different sources and systems to provide a comprehensive view of the total cost associated with inventory items.
Accessing Consolidated Cost Information
Access Rules:
Access to consolidated costs is controlled and permitted based on business needs, particularly for roles in Supply Chain Management (SCM) and Finance.
Permitted Roles:
Head Quarter Personnel
Global/Regional Personnel (e.g., E2E Planners)
US Market Personnel
Not Permitted Roles:
Site Personnel with roles specific to a single site
Market Personnel with roles specific to a single country or market
Procedure:
If you meet the criteria for access, you should already have access to the Global Inventory SKU Level application, which contains total inventory value based on consolidated costs.
If your role changes and you no longer meet the criteria, you should contact Mike Lavin or the System Administrator to remove your access and remain in compliance.
Impact on E2E Planner Role
Responsibilities:
Review and Analysis:
As an E2E Planner, you are responsible for reviewing and analyzing consolidated cost data to ensure accuracy and alignment with financial and operational plans.
You need to check the CONSOLID_COST_SOURCE field in item-level data to identify any modeled costs that may be causing discrepancies. This field can have values such as:
FSA-Base Data: Finance System Cost pulled in with actuals
FSA-CPM: Finance System Cost applied to projections
MDL: Modeled costs within the inventory database, potentially inaccurate and addressed through the plug cost process
PLUG: Manually entered corrections to modeled costs
Exception Management:
You must address any issues related to modeled costs by using the plug cost process in the inventory dashboard to correct inaccuracies.
Regularly review projected inventory data to ensure it reflects reality in terms of profit plan production volumes and forecasts.
Coordination:
Collaborate with other planners and stakeholders to ensure that consolidated cost data is accurate and up to date.
Communicate any changes or corrections to the relevant teams to maintain alignment across the supply chain.
Key Activities:
Monthly Metric Review:
Analyze metrics on a monthly basis to identify risks and opportunities and define actions to improve.
Prepare and share global supply review scorecards and supply chain dashboards to provide visibility into the supply chain health.
Data Accuracy:
Ensure that the data in the system is accurate and reflects the current state of inventory and costs.
Correct any errors due to UOM issues, master data issues, BOM issues, or system limitations.
By effectively managing and utilizing consolidated cost data, you can help optimize inventory levels, improve cost efficiency, and support strategic decision-making within the supply chain.</t>
  </si>
  <si>
    <t xml:space="preserve">To develop as a Value Chain Management (VCM) lead, you will need to focus on several key skills and competencies. Based on the provided context, here are the essential skills and knowledge areas required for a VCM lead:
Required Skills &amp; Knowledge:
1.	Vision Setting and Strategy Development:
•	Ability to set a vision and evolve innovative product strategies in alignment with commercial, financial, manufacturing, and supply chain business priorities.
2.	Stakeholder Management:
•	Develop credibility and trust with all stakeholders and partners.
•	Understand stakeholder needs to make appropriate improvement plans for the product.
•	Represent Manufacturing towards other stakeholders and collaborate with internal resources to achieve goals.
3.	Numerical and Technical Proficiency:
•	Know your numbers, supply chain, and technologies.
•	Understand SCM’s numbers, systems, metrics, and challenges.
4.	Integrated Risk Management:
•	Apply knowledge of the system and process related to Integrated Risk Management.
•	Lead Integrated Risk Management for assigned products.
5.	Product Life Cycle Management:
•	Understand Product Life Cycle Management requirements for their product.
•	Develop product strategies to maximize value creation opportunities.
6.	Supply Chain Design and Planning:
•	Provide input for Supply Chain maps and Supply Chain design when required.
•	Understand overall planning process / E2E thinking, including Logistics, Export, and Material Management.
7.	Disruption Resolution:
•	Engage in the resolution of global product disruptions where long-term strategic supply chain alternatives need to be established.
8.	Change Control:
•	Endorse key Change Control requirements to maintain and improve compliant MMD supply of product.
9.	Product Master Planning:
•	Ability to write or update the Product Master Plan.
Competency Development:
To achieve proficiency in these areas, you may need to focus on the following competencies and their development:
1.	Integrated Risk Management:
•	Lead Integrated Risk Management for assigned products.
•	Familiarize with Integrated Risk Management processes and systems.
2.	Long Range Operating Planning (LROP):
•	Develop data inputs for LROP according to standards and system requirements.
•	Gain an overview of LROP processes.
3.	Supply Chain Mapping and Design:
•	Provide input for standardized physical and financial Supply Chain maps.
•	Use tools like E2E Visualizer.
4.	Supply Chain Planning:
•	Understand Supply Chain Planning Overview and Delivery General Overview.
•	Engage in IBP (Integrated Business Planning).
5.	Change Control:
•	Understand and implement Change Control processes.
6.	Product Master Planning:
•	Develop and update the Product Master Plan.
•	Use resources like the Product Transition Checklist.
Development Actions:
Training and Learning:
•	Participate in training programs related to SCM, risk management, supply chain design, and product lifecycle management.
•	Utilize resources like SCM SharePoint, NIMBUS, and specific modules (e.g., IBP module 1).
Practical Experience:
•	Engage in projects that involve cross-functional teams and end-to-end supply chain functions.
•	Lead or participate in initiatives focused on process improvement and capability building.
Mentorship and Networking:
•	Seek mentorship from experienced VCM leaders.
•	Network with peers and stakeholders to understand best practices and emerging trends.
By focusing on these skills and competencies, you can effectively develop as a VCM lead and contribute to the strategic and operational success of the value chain management function.
</t>
  </si>
  <si>
    <t>Who is responsible for updating the lot size horizon and how can it be done?</t>
  </si>
  <si>
    <t xml:space="preserve">The responsibility for updating the lot size horizon lies with the E2E Planner and the Site Representative Planner. The process for updating the lot size horizon can be done as follows:
1.	Define the Scope: Agree between the Site Representative Planner and E2E Planner when to execute the renewal, ensuring time is allocated to perform the activity within a short period.
2.	Load the Workbook: Use the "Lot Size Horizon Management" workbook.
3.	Select the Scenario: Choose the "Parameter Management" scenario.
4.	Select the Plant: Identify the plant containing the object resource for the run. The last operation resource must be selected, as previous operations will follow the dependent demand frequency.
5.	Set Part Selection Filter: Apply the filter for all parts.
6.	Set Demand: Configure the 12-month demand to a forecast option.
7.	Review Results: The workbook will display results per SKU, a summary with the optimal proposal, and respective graphics.
8.	Update Parameters: Use the workbook to update the scenario’s lot sizes quickly via the “effective lot size” column, instead of updating lot size one by one in part properties.
9.	Apply Changes: The Site Representative Planner will request the local ISO team to apply the local lot size changes. The E2E Planner will trigger the process to review the safety stock’s maximum values due to major lot size changes and request a lot size update in all location extensions for the SKUs where the lot size has been changed.
10.	Evaluate and Next Steps: During each SSR meeting, discuss parameter renewal based on input from the E2E Planner and Site Representative Planner, including escalation points and learnings from the last parameter renewal.
By following these steps, the lot size horizon can be effectively updated to ensure accurate planning and inventory management.
</t>
  </si>
  <si>
    <t>Are there instructions how to create a return PO and where can I find those instructions?</t>
  </si>
  <si>
    <t xml:space="preserve">Yes, there are instructions on how to create a return Purchase Order (PO). Here are the steps extracted from the provided content:
Instructions for Creating a Return PO
Intercompany Example
1.	Create Purchase Requisition (PR) using ME51N:
•	Enter Material, Quantity, Delivery Date of Return, and purchasing organization (e.g., 1000).
•	Save the PR.
•	Enter the IP plant vendor in the "desired vendor" field of the Source of Supply Tab.
2.	Convert PR to PO in MD04:
•	Go to MD04 in ECC and convert the listed PR to a PO.
•	Confirm in the top left box that the order type is Standard PO.
•	Under line item detail, scroll to the right and check the “Returns Item” box.
•	Ensure the vendor at the top is the original supplying plant with “IP”.
•	Verify the delivery address is where the return needs to go (original supplying plant).
Intracompany Example
1.	Create Purchase Requisition (PR) using ME51N:
•	Enter Material, Quantity, Delivery Date of Return, and purchasing organization.
•	Save the PR.
•	Enter the IP plant vendor in the "desired vendor" field of the Source of Supply Tab.
2.	Convert PR to Stock Transport Order (STO) in MD04:
•	Go to MD04 in ECC and convert the listed PR to an STO.
•	Confirm in the top left box that the order type is Stock Transport Order.
•	Under line item detail, scroll to the right and check the “Returns Item” box.
•	Ensure the vendor at the top is the original supplying plant with “IP”.
•	Verify the delivery address is where the return needs to go (original supplying plant).
Additional Instructions for Creating a Return PO in SAP (ME21N)
1.	Activate Document Overview:
•	Click [Document Overview On].
•	Select Purchase Requisitions and enter the PR number created earlier.
•	Click to create the Purchase Order screen.
2.	Select and Copy Line Item:
•	Select the PR number from the Document Overview section.
•	Click to copy the line item to the purchase order.
3.	Item Overview Section:
•	Select the checkbox for Returns item.
•	Enter batch number in the Material Data tab.
•	Enter ‘gross price’ in the Conditions tab (credit amount).
•	Enter tax code I1 in the Invoice tab.
•	Enter the reason for return in the Texts tab (long item text).
•	Choose blocked stock in the Delivery tab (stock type).
4.	Save and Confirm:
•	Click to process and save the PO.
•	Confirm the PO creation message.
Email Notification
After creating the return PO, the planner/buyer must email the supplier within one business day, including specific internal contacts and the reason for return.
Source Documents
•	Work Instruction WI-10887, v5.0
•	Work Instruction WI-3362, v5.0
•	Standard Operating Procedure 21-PLN-410X
These instructions are detailed in the provided content and can be found in the respective work instructions and SOPs mentioned above.
</t>
  </si>
  <si>
    <t>What is the difference between intracompany and intercompany PO?</t>
  </si>
  <si>
    <t xml:space="preserve">The difference between intracompany and intercompany Purchase Orders (POs) lies in the company codes involved and the ownership of the material:
Intracompany Purchase Orders (POs)
•	Company Code: Within the same company code.
•	Ownership: The ownership of the material remains with the same legal entity.
•	Document Type: Typically uses Stock Transfer Orders (STOs) with order type UB.
•	Example: A stock transfer from one plant to another within the same company code, such as from plant 1061 MSDIS Haarlem to plant 1518 MSDIS Boortmeerbeek, where MSDIS (company code 1048) remains the owner of the goods.
•	Financial Implications: No financial settlement between different entities is needed, and no Grant of Authority approvals are required. Only the physical location of the stock changes.
Intercompany Purchase Orders (POs)
•	Company Code: Between different company codes.
•	Ownership: The ownership of the material changes from one legal entity to another.
•	Document Type: Uses standard Purchase Orders (POs) with order type NB or ZIC.
•	Example: A stock transfer from plant 1061 MSDIS Haarlem to plant 1169 MSD Spain, where the company code changes from MSDIS (1048) to MSD Spain (2000).
•	Financial Implications: Includes a financial transaction as the ownership of the goods changes legal entity. This requires financial settlements between the entities involved.
Summary
•	Intracompany PO: Same company code, no change in ownership, uses STOs, no financial transactions between entities.
•	Intercompany PO: Different company codes, change in ownership, uses standard POs, involves financial transactions between entities.
</t>
  </si>
  <si>
    <t>What is the main market for Belsomra from a quantity perspective?</t>
  </si>
  <si>
    <t>The main market for Belsomra from a quantity perspective is Japan, which accounts for 85% of Belsomra's volume.</t>
  </si>
  <si>
    <t>What is the fixed lead time and where can I find it in SAP?</t>
  </si>
  <si>
    <t>The fixed lead time is the amount of time required to produce each order for a part from a specific source. It is used to calculate the start date of a supply element and varies depending on the part source type (e.g., Buy, Make, Transfer).
In SAP, the fixed lead time can be found in different fields depending on the context:
1.	For Purchased Materials (Procurement Type F or X):
o	The fixed lead time is taken from the Planned Delivery Time (PDT) in the Purchase Info Record (PIR). If the PDT is not available in the PIR, it is taken from the Material Master (MRP2 tab).
2.	For In-house Produced Materials (Procurement Type E):
o	The fixed lead time is pulled from the In-house Production Time field in the Material Master (MRP2 tab). If no value is present, a default value of 1 is used.
3.	For Subcontracting Materials (Procurement Type F/30):
o	The fixed lead time is taken from the In-house Production Time field. If this is not available, it is taken from the PDT in the PIR.
Where to Find Fixed Lead Time in SAP:
•	Material Master (MRP2 Tab):
o	Field: In-house Production Time
o	T-Code: MM03 (Display Material) or Z_MM02 (Change Material)
o	Path: Logistics → Materials Management → Material Master → Material → Display/Change → MRP2
•	Purchase Info Record (PIR):
o	Field: Planned Delivery Time (PDT)
o	T-Code: ME13 (Display PIR) or ME12 (Change PIR)
o	Path: Logistics → Materials Management → Purchasing → Master Data → Info Record → Display/Change
Example Screenshots:
1.	Material Master (MRP2 Tab):
o	Field: In-house Production Time
o	Example Value: 10 days
2.	Purchase Info Record (PIR):
o	Field: Planned Delivery Time (PDT)
o	Example Value: 30 days
Summary:
The fixed lead time is a critical parameter for determining the start date of supply elements and is sourced from different fields based on the procurement type. It can be found in the Material Master (MRP2 tab) for in-house production times and in the Purchase Info Record (PIR) for planned delivery times.</t>
  </si>
  <si>
    <t>What is the difference between regional Tier 4 and therapeutic Tier 4?</t>
  </si>
  <si>
    <t>The difference between regional Tier 4 and therapeutic Tier 4 lies in their scope and focus:
1.	Regional Tier 4:
•	Scope: Focuses on the consolidation of supply and demand risks and opportunities within a specific region.
•	Horizon: Typically addresses issues within a 0-3 month timeframe.
•	Activities: Reviews issues escalated from Tier 2, provides feedback for trade-offs within the region, and prioritizes regional production needs.
•	Stakeholders: Includes regional fulfillment representatives, regional planning representatives, regional GHH representatives, and regional demand management representatives.
•	Outputs: Produces a list of items to be escalated to the Therapeutic E2E Tier 4 level, manages market-to-market transfers, and sets regional prioritization for production in case of trade-offs.
2.	Therapeutic Tier 4:
•	Scope: Addresses issues with global impact that require trade-offs between different regions.
•	Horizon: Can address issues impacting multiple SKUs and broader, cross-regional concerns.
•	Activities: Discusses larger issues captured in "Stories," tracks and updates these issues, and communicates anticipated problems impacting multiple SKUs to relevant stakeholders.
•	Stakeholders: Includes regional fulfillment representatives, regional planning representatives, and E2E planning representatives.
•	Outputs: Applies prioritization based on an E2E view and opportunities, escalates items to Tier 5, communicates to markets through regional fulfillment, and updates stories.
In summary, regional Tier 4 focuses on regional-specific supply and demand issues and prioritization, while therapeutic Tier 4 deals with globally impactful issues that require coordination and trade-offs across multiple regions.</t>
  </si>
  <si>
    <t>What does the acronym RAACE stand for?</t>
  </si>
  <si>
    <t>The provided context does not include the acronym RAACE or its definition. If you have any additional context or documents where this acronym might be mentioned, please provide them, and I can assist further. Otherwise, you may need to consult the relevant documentation or resources specific to your organization or industry to find the definition of RAACE.</t>
  </si>
  <si>
    <t>What is contained in a description of a FG SKU?</t>
  </si>
  <si>
    <t>The description of a Finished Good (FG) SKU typically includes the following elements:
1.	Product Name and Strength: The name of the product and its strength or dosage form (e.g., "FOSAMAX OW 70MG 4TAB BLISTER").
2.	Packaging Information: Details about the packaging, such as the number of tablets or doses per package and the type of packaging (e.g., "4TAB BLISTER" or "10X1 DOSE VIAL").
3.	Region or Market: The specific market or region for which the product is intended (e.g., "USA").
4.	Additional Identifiers: Any additional identifiers or special notes that distinguish the product (e.g., "SAM USA" for sample products).
For example, in the provided context, the description for a finished good SKU might be "FOSAMAX OW 70MG 4TAB BLISTER" or "GANIRELIX ACETATE 250MCG/0.5ML SYR".</t>
  </si>
  <si>
    <t>When new forecast is being released</t>
  </si>
  <si>
    <t>The new forecast is released on the third Friday of the month. During this time, the demand planner can update the market forecast based on new information from supply, IBP, marketing, regional demand review, or errors found in the original forecast. These updates must be saved and committed, and the forecast is then released to supply planning. The outputs are directed to Demand Planning, Supply Planning, and S&amp;OP/IBP scenarios.</t>
  </si>
  <si>
    <t>How to convert PREQ to PO?</t>
  </si>
  <si>
    <t>To convert a Purchase Requisition (PREQ) to a Purchase Order (PO) in SAP, follow these steps:
1.	Review the Purchase Requisition:
o	Ensure the quantities and delivery dates are correct.
o	If adjustments are needed, switch to "Change" mode and make the necessary changes. Note that increasing the quantity may trigger a "Blocked" status, requiring release before conversion.
2.	Release the Purchase Requisition:
o	If the PREQ is blocked, it must be released before it can be converted to a PO.
3.	Convert PREQ to PO using ME57:
o	Start SAP ECC and enter transaction code ME57 (Assign and Process Purchase Requisitions).
o	Fill in the required fields:
	Scope of list: A
	Plant: Enter the relevant plant code (e.g., 1014 for Haarlem).
	Materials Planner/Controller: Enter the appropriate planner/controller.
	Selection: Check the box for 'open' purchase requisitions.
o	Execute the selection to display the list of open purchase requisitions.
4.	Assign and Process the Purchase Requisition:
o	Select the purchase requisition you want to convert.
o	Click on the "Assign Automatically" button to assign a vendor if not already assigned.
o	Save the changes.
5.	Create the Purchase Order:
o	Double-click on the purchase requisition number to open the detailed view.
o	Click on the "Purchase Order" button to initiate the creation of the PO.
o	The "Create Purchase Order" screen (ME21N) will appear.
o	Click on the Purchase Requisition number and adopt the details into the PO.
o	Complete any additional required fields (e.g., vendor, purchasing organization).
o	Save the Purchase Order.
6.	Verify the Purchase Order:
o	Review the PO details, such as delivery address and item details, to ensure accuracy.
o	Save the PO to finalize the conversion.
By following these steps, you can successfully convert a Purchase Requisition to a Purchase Order in SAP.</t>
  </si>
  <si>
    <t>What is role of VCM lead?</t>
  </si>
  <si>
    <t>The role of the VCM Lead, as identified in the organizational chart, is held by Francisco Toste. The VCM Lead is at the top level of the Value Chain Management (VCM) team hierarchy at Merck. While the specific responsibilities of the VCM Lead are not detailed in the provided context, it can be inferred that the VCM Lead oversees the entire VCM organization, including the Value Chain Leaders, Product Leaders/Managers, Change Managers, and the Analytics &amp; Support and Materials Management functions. The VCM Lead is likely responsible for setting the strategic direction, ensuring alignment with business priorities, and driving the overall performance and continuous improvement of the end-to-end supply chain capabilities within the organization</t>
  </si>
  <si>
    <t>I need to place return PO for my API. Who is responsible for this task?</t>
  </si>
  <si>
    <t xml:space="preserve">Based on the provided documents, the responsibility for creating a Return Purchase Order (PO) for an API falls under the role of the planner. Specifically, the E2E Planning or the Planner of the region holding the stock is responsible for creating the Return PO. Here are the relevant steps and roles involved:
1.	Planner: The planner is responsible for creating the Return Purchase Order in the SAP system (transaction ME21N). This includes adopting requisitions, adding necessary text and details, marking items as return items, and ensuring all required fields and tabs are correctly filled out.
2.	E2E Planning or Regional Planner: For intercompany returns, the E2E Planning or the Planner of the region holding the stock must create the Return PO to allow Goods Issue out of the plant where the stock is located.
3.	Supply Chain Management (SCM): The SCM department coordinates with the vendor regarding the return, including obtaining return authorization and confirming shipping details.
In summary, the planner or the E2E Planning/Regional Planner is responsible for creating the Return PO for your API.
</t>
  </si>
  <si>
    <t>PREQ for Tri-Trade order is missing. How can I create it?</t>
  </si>
  <si>
    <t xml:space="preserve">To create a purchase requisition (PREQ) for a Tri-Trade order, you can follow the steps outlined in the provided context. Here is a detailed process based on the extracted content:
Steps to Create a Purchase Requisition (PREQ) for a Tri-Trade Order
1.	Review Purchase Requisition (PREQ) Details:
o	Before creating the PREQ, ensure that you have reviewed the necessary details such as quantity and date.
2.	Access the Transaction Code:
o	Use the transaction code ZGSTS_MANL_TRI_TRADE in SAP to initiate the manual creation of the Tri-Trade purchase order.
3.	Enter Required Information:
o	Receiving Plant Number: Enter the physical receiving plant number.
o	Supplying Plant Number: Enter the physical supplying plant number.
o	Material: Enter the material code.
o	Planned Delivery Date Range: Update the planned delivery date range.
4.	Execute the Process:
o	Click the execute icon to proceed with the creation of the PREQ.
Detailed Instructions with SAP Interface
1.	Navigate to the Transaction:
o	Go to the SAP Easy Access menu and enter the transaction code ZGSTS_MANL_TRI_TRADE.
2.	Fill in the Selection Criteria:
o	Receiving Plant: Enter the receiving plant number (e.g., 1016).
o	Vendor/Supplying Plant: Enter the supplying plant number (e.g., IS1508).
o	Material: Enter the material code (e.g., 1000896).
o	MRP Controller: Leave blank if not applicable.
3.	Set Planned Dates:
o	Planned Release Date: Enter the planned release date (e.g., 27.03.2013).
o	Planned Delivery Date: Enter the planned delivery date (e.g., 27.09.2015).
4.	Execute the Transaction:
o	Click the execute icon to create the PREQ.
Additional Steps for Tri-Trade Order Creation
1.	Convert PREQ to Tri-Trade PO:
o	Select the PREQ to be converted into Tri-Trade POs by clicking the checkbox beside the individual PREQ or using the Select All icon.
o	Execute the process by clicking on the Run in Foreground icon. If there are more than 20 PREQs to be converted, either click on Run in Background or reduce the number to less than 20 and Run in Foreground.
2.	Verify PO Contents:
o	After the PREQ is converted, verify the PO contents by double-clicking on the PO numbers in the PO NO column.
3.	Review and Save:
o	Ensure that all details are correct and save the changes.
Important Notes
•	Mandatory Fields: Ensure that all mandatory fields (indicated by red arrows) are filled in correctly.
•	Email Notifications: When running in the foreground, a success status message will be displayed along with the PREQ number and Tri-Trade PO numbers. An email will be sent to the IC Tri-Trade Log distribution list with a spreadsheet attachment showing POs created. When running in the background, an email will be sent to the user and a second email to the IC Tri-Trade Log distribution list.
By following these steps, you can successfully create a purchase requisition for a Tri-Trade order in SAP. If you encounter any issues or need further assistance, please refer to the detailed work instructions or contact your system administrator.
</t>
  </si>
  <si>
    <t>How Consolidated costs is different from Standard Cost? And can it be shared with Site Planning?</t>
  </si>
  <si>
    <t xml:space="preserve">Consolidated Costs:
•	Definition: Consolidated costs represent the aggregated cost of an item, taking into account various factors such as finance system costs, modeled costs, and manual adjustments.
•	Components: These costs can include actual finance system costs (FSA-Base Data), finance costs applied to projections (FSA-CPM), modeled costs within the inventory database (MDL), and manually entered corrections (PLUG).
•	Purpose: Consolidated costs are used to provide a comprehensive view of the total cost associated with an item, considering all relevant financial data and adjustments.
•	Usage: These costs are typically used for financial reporting, inventory valuation, and strategic decision-making.
Standard Costs:
•	Definition: Standard costs are predetermined or estimated costs of manufacturing a product, based on historical data and expected future costs.
•	Components: These costs usually include direct materials, direct labor, and manufacturing overhead.
•	Purpose: Standard costs are used for budgeting, cost control, and variance analysis. They provide a baseline for measuring actual performance against expected performance.
•	Usage: These costs are primarily used for internal management purposes, such as setting budgets, evaluating performance, and controlling costs.
Sharing Consolidated Costs with Site Planning
Access Control:
•	Consolidated costs are sensitive financial data and access to them is controlled based on business needs.
•	Access is typically permitted for roles in Supply Chain Management (SCM) and Finance, including headquarters personnel, global/regional personnel (e.g., E2 planners), and US market personnel.
•	Access is not permitted for site personnel with roles specific to a single site or market personnel with roles specific to a single country or market.
Implications for Site Planning:
•	Site Planning Role: Site planners are responsible for planning, communication, and synchronization of requirements based on parameters set by regional planning and system-generated requirements.
•	Access Restrictions: Given the access restrictions, site planners typically do not have access to consolidated costs unless their role explicitly requires it and they meet the criteria for access.
•	Alternative Data: Site planners may rely on standard costs or other relevant data provided by regional planners or finance teams to perform their planning activities.
Conclusion:
•	Consolidated costs provide a comprehensive financial view but are restricted to specific roles due to their sensitive nature.
•	Site planners generally do not have access to consolidated costs and should use standard costs or other provided data for their planning activities. If access to consolidated costs is necessary, it must be justified by business needs and approved by the appropriate authorities.
</t>
  </si>
  <si>
    <t>Which market has the highest PGM in Bridion portfolio and how much</t>
  </si>
  <si>
    <t>The market with the highest PGM (Product Gross Margin) in the Bridion portfolio is the USA, with a PGM of 53.0.</t>
  </si>
  <si>
    <t>What is the threshold for IQV batches assessment?</t>
  </si>
  <si>
    <t>The threshold for IQV (Inventory Quality Variance) batches assessment is 100 k
LINK
 equaltoorexceeding100K must be reviewed and assessed for IQV risk. This threshold applies to the initial assessment and reassessment processes to ensure accurate financial reporting and risk management</t>
  </si>
  <si>
    <t>Could you please give me a link to Rapid Response?</t>
  </si>
  <si>
    <t>To access Rapid Response, you should follow the instructions provided in the training materials. Specifically, you can find detailed instructions on the Planner University SharePoint site under the "New Planner Training" section and the “30 day” icon. If you need further assistance, you may also refer to the following link for creating a ticket for Rapid Response issues: Merck Service Requests.
For more detailed information about Rapid Response functionalities, you can visit the Kinaxis help site: Kinaxis RapidResponse User Documentation.
If you need additional guidance or have specific issues, please follow the steps to create a support ticket as outlined in the training materials.</t>
  </si>
  <si>
    <t>I need to open story in SCEM. How can I calculate financial impact of delayed supply?</t>
  </si>
  <si>
    <t>To calculate the financial impact of delayed supply in the Supply Chain Escalation Management (SCEM) system, you can follow these steps:
1.	Identify the Delayed Supply:
o	Use the SCEM dashboard to identify the specific supply orders that are delayed. This can be done by reviewing the "Supply &amp; Demand" worksheet or the "Pegging Report" to see which orders have late available dates compared to their due dates.
2.	Quantify the Delayed Supply:
o	Determine the quantity of supply that is delayed. This information can be found in the "Late Supply Qty" column in the "Supply Demand Summary" or the detailed "Supply &amp; Demand" lines.
3.	Calculate the Financial Impact:
o	Lost Sales: Estimate the revenue lost due to the delayed supply. This can be calculated by multiplying the quantity of delayed supply by the unit selling price.
	Formula: Lost Sales = Delayed Quantity * Unit Selling Price
o	Additional Costs: Identify any additional costs incurred due to the delay, such as expedited shipping, penalties, or increased operational costs.
	Formula: Additional Costs = Expedited Shipping Costs + Penalties + Increased Operational Costs
o	Total Financial Impact: Sum the lost sales and additional costs to get the total financial impact.
	Formula: Total Financial Impact = Lost Sales + Additional Costs
4.	Use SCEM Tools:
o	Utilize the SCEM tools to document and analyze the financial impact. You can create a "Story" in SCEM to detail the issues related to the delayed supply, including the financial impact calculations.
o	To create a story, navigate to the "Supply Chain Escalation Management Dashboard" and click on the "Create" button. Fill in the necessary details, including the financial impact analysis.
5.	Review and Communicate:
o	Review the calculated financial impact with relevant stakeholders, such as regional planners, demand fulfillment planners, and the logistics team.
o	Use the SCEM system to share the story and collaborate on mitigation strategies to address the delayed supply and minimize financial impact.
By following these steps, you can effectively calculate and document the financial impact of delayed supply in the SCEM system.</t>
  </si>
  <si>
    <t>Questions</t>
  </si>
  <si>
    <t>Answers</t>
  </si>
  <si>
    <t>Comment Rating</t>
  </si>
  <si>
    <t xml:space="preserve">To plan the introduction of a new source of supply in a packaging site as of a certain date in the future using Rapid Response, you can follow these steps:
1.	Create a Quota Arrangement Header:
o	In the Quota Arrangement header, enter the product number and specify the future date when the new source will become effective.
o	Note that the system will automatically set the Start Date to today’s date for the first quota. For subsequent quotas, the Start Date will be set to one day after the End Date of the previous quota.
2.	Define Multiple Quota Arrangements:
o	You can create multiple consecutive quota arrangements to model different sourcing periods for the same SKU. Each quota arrangement can have its own effective dates.
o	For example, you can have one quota arrangement effective from today until a specified future date, and another one starting immediately after the first one ends.
3.	Adjust Sourcing Modeling:
o	Within each quota period, you can adjust the sourcing model at the item level. This allows you to define how the supply will be sourced during each period.
4.	Set Effective Dates:
o	Ensure that the effective dates for each quota arrangement are correctly set to reflect the planned introduction of the new source. For instance, the first header might plan from today until a specific date, the second header from that date to another future date, and so on.
5.	Review and Commit Changes:
o	After setting up the quota arrangements, review the changes to ensure they align with your planning objectives.
o	Commit the changes in Rapid Response to make them effective.
Example Table Setup:
Here’s an example of how the quota arrangements might look in the system:
Part Name	Part Description	Site	Start Date	End Date	Quota
1034238	KEYTRUDA SFI 100MG VIAL L89	1014	10-Mar-24	31-Oct-25	Quota
1034238	KEYTRUDA SFI 100MG VIAL L89	1014	1-Nov-25	31-Jan-26	Quota
1034238	KEYTRUDA SFI 100MG VIAL L89	1014	1-Feb-26	Future	Quota
Steps in Rapid Response:
1.	Navigate to the Quota Arrangement Header:
o	Enter the product number and the future effective date.
2.	Adjust the End Date:
o	Set the End Date for the current quota arrangement.
3.	Create Subsequent Quotas:
o	For each subsequent quota, set the Start Date to one day after the previous quota’s End Date.
4.	Model Sourcing Adjustments:
o	Adjust sourcing rules and targets within each quota period as needed.
By following these steps, you can effectively plan the introduction of a new source of supply at a packaging site in Rapid Response, ensuring that the transition is smooth and aligned with your overall supply chain strategy.
</t>
  </si>
  <si>
    <t>I’m not sure how complete the list is, but for sure it is not the ways of working to process in rapid response (=Maestro)</t>
  </si>
  <si>
    <t>Sweet and short</t>
  </si>
  <si>
    <t>I miss financial parts of the return, the contact with finance and for Vat reason for example</t>
  </si>
  <si>
    <t>For me critical information is that you need the have the financial supply chain aligned with Finance first. I’m missing it here. Would be good to think how we can improve the prompt people ask to get a more complete answer</t>
  </si>
  <si>
    <t>Exactly same question as 2, but more concise answer. Less detailed as previous run. I was hoping to find who had the final decision right on safety stock, which I can’t see (which should be the E2E planner</t>
  </si>
  <si>
    <t>Documentation might need updating (soon) as I assume safety lead time is planned not be CIF-ed anymore from APO</t>
  </si>
  <si>
    <t>Mainly my inexperience with writing good prompts on why not very satisfied. My next question would be where and how to maintain this parameter</t>
  </si>
  <si>
    <t>Mainly my inexperience with writing good prompts on why not very satisfied</t>
  </si>
  <si>
    <t xml:space="preserve">I was hoping to get a clear black&amp;white answer. The good thing is it reminded me to the annual process on updating Safety Stock Level and the alignment process </t>
  </si>
  <si>
    <t xml:space="preserve">The answer calls out the main parameters directly linked to the Planning Time Fence in the different environments, ECC, APO and RR. Considering my query was specifically referring to ExM scenario, the PP/DS Planning Time Fence should not be considered. Also the Demand Time Fence (DTF) seems out of the context of the question. Therefore, I am rating the accuracy low. </t>
  </si>
  <si>
    <t>Missing to mention in the references WI-3362 Return Process for Purchased Materials, that should be the main document from a Planning perspective.
Is it included in the sources?</t>
  </si>
  <si>
    <t>It provides a good clue by using Global Part Substitution.
It addresses the main functionality enabled by Merck Part Source Maintenance.
Unfortunately, Batch Expiry Management is out of context and misleading. So, accuracy is only 2.
Result is unsatisfactory as I was explicitly asking for detailed steps to follow, whereas the answer simply states:  5 - Apply Settings</t>
  </si>
  <si>
    <t>Accuracy is best. I would expect more specific guidance in terms of:
•	Workbooks to use
•	More details about the steps for item level Quotas (only mentioned at the end as “Model Sourcing Adjustments”)
•	Missing to explain the set up goes via scenario creation
Main source for the reply should be: Dir_Name: /Quota Arrangements, File_Name: Knowledge College - Quota Arrangement in Rapid Response - Mar2024.pptx, Chunk_Id: 4, Chunk_Length: 1043, Token_Count: 258, Repository_Name: Planner_University_Chunks_Copy,</t>
  </si>
  <si>
    <t>Tried to throw it a curve ball with the level of complexity and weird requirements of the output, but was good.</t>
  </si>
  <si>
    <t>Pretty decent</t>
  </si>
  <si>
    <t>Good input, seems correct.</t>
  </si>
  <si>
    <t>Good use of supplemental material.</t>
  </si>
  <si>
    <t>Pretty decent, might have to improve DILO/WILO reference points to connect it more explicitly here.</t>
  </si>
  <si>
    <t>Pretty good and simple answer.</t>
  </si>
  <si>
    <t>Answer is at the point and accurate, however I would have expected the reply coming (also) from other sources: and WI-3360</t>
  </si>
  <si>
    <t>While the answers gives a clear overview of the steps to be taken and the expected outcome, I do not see mentioned the names of the RR workbook used to perform the activities</t>
  </si>
  <si>
    <t>Very accurate reply</t>
  </si>
  <si>
    <t>We miss the indication of usage of Expiry Analysis workbook and the steps to be taken there</t>
  </si>
  <si>
    <t>Receiving the hyperlinks would help to easily access the resources</t>
  </si>
  <si>
    <t>Would have been beneficial having received the hyperlinks of: Service Deks to open the ticket for the SO creation, where to get the Credit Debit Request From, where to find the WI supporting this procedure</t>
  </si>
  <si>
    <t>What is Planner U and how to access it? Getting the supply Chain Maps hyperlink would be beneficial</t>
  </si>
  <si>
    <t>Getting the hyperlink to access the resources for escalation would have been helpful, however great answer</t>
  </si>
  <si>
    <t>Getting the hyperlink to access the Global Inventory Dashboard would have been helpful, however great answer</t>
  </si>
  <si>
    <t>Very good and clear answer. This statement  “E2E Planner is involved in creating a Quota Arrangement in APO” APO should be be mentioned though (change of the Quota are made directly in RR)</t>
  </si>
  <si>
    <t>Accurate output. I would expect to get some works about visual factory though</t>
  </si>
  <si>
    <t>I would have expected more details about what falls into Portfolio management team like PLR process, minimum trashold….</t>
  </si>
  <si>
    <t>Nothing to add</t>
  </si>
  <si>
    <t>Responsibilities of E2E planners described are not specifics to a launch in my opinion.To high level information.</t>
  </si>
  <si>
    <t>Complete answer</t>
  </si>
  <si>
    <t>Good answer, all elements are mentioned</t>
  </si>
  <si>
    <t>Accurate, nothing to add</t>
  </si>
  <si>
    <t xml:space="preserve">Well descripted </t>
  </si>
  <si>
    <t>Information are pulled incompletely, but it has to be verified if the issue is linked with incomplete source data, The second part of the answer is more satisfying since it gives more detailed steps on the execution, while the first part does not tell accurately how to start (which workbook in RR and which steps)</t>
  </si>
  <si>
    <t xml:space="preserve">I rated the answer’s accuracy a 5 because it answers my questions based on the knowledge base perfectly fine. However, I think it would be nice, the more the tool learns to understand mor concrete examples on how to develop in this which is why I rated the satisfaction as 4. </t>
  </si>
  <si>
    <t>Answer is OK but could be shorter and more precises</t>
  </si>
  <si>
    <t>The answer is accurate; however, it would be nice to maybe see in the more developed version some print screens of SAP or direct hyperlinks to the Work-Instructions to make it even more user-friendly.</t>
  </si>
  <si>
    <t>Short and precise</t>
  </si>
  <si>
    <t>The answer is accurate; however, it would be nice to maybe see in the more developed version some print screens of SAP to make it even more user-friendly.</t>
  </si>
  <si>
    <t>The answer is correct; however a shorter output would be appreciated, which also is a bit related to the open question I asked</t>
  </si>
  <si>
    <t>I expected it to know due to this being a main section in the SCM learning hub: RAACE - Home</t>
  </si>
  <si>
    <t>The answer is not accurate, because currently FC is being released on 2nd Friday of the month.</t>
  </si>
  <si>
    <t xml:space="preserve">Maybe it is not providing the most concise instruction or best way (usual way) to covert PREQ, but it is accurate. </t>
  </si>
  <si>
    <t>Answer refer to person that was lead of VCM organization in the past and is not providing clear answer on what VCM lead do.</t>
  </si>
  <si>
    <t>Answer is not supper clear and not mentioning correctly our internal roles, but it is somehow accurate.</t>
  </si>
  <si>
    <t>I still don’t know how to create PREQ for Tri-Trade order. Answer assume that PREQ is there. The answer is too long and confusing.</t>
  </si>
  <si>
    <t>I think it summarize quite well the difference and I’m happy to see that it is highlighting that it should consolidated cost should not be seen by Site Planning.</t>
  </si>
  <si>
    <t>I got very strange reply (see long text after 100k). It is somehow accurate but refer to Inventory Quality Variance. Not even sure what that term means.</t>
  </si>
  <si>
    <t>The link to RR was not shared. I was provided with other information, one to Kinaxis website (not relevant) and one to internal documentation of MSD, but link doesn’t work.</t>
  </si>
  <si>
    <t>Answer is not straightforward but give some idea on how impact can be calculate. Might be too confusing for NewComer.</t>
  </si>
  <si>
    <t>What is a TTI ?</t>
  </si>
  <si>
    <t>How should a planner handle a global event ?</t>
  </si>
  <si>
    <t>Based on the provided context, there is no specific mention or definition of "TTI." If you could provide more details or specify the context in which "TTI" is used, I might be able to assist you better.</t>
  </si>
  <si>
    <t>The policy that could help a planner to recall a product and drill down only on documents in the EMEA or Global Binder is Policy 3161. This policy is mentioned in the context of archiving regulatory submissions, correspondence to/from health authorities, internal correspondence related to regulatory submissions, corporate dispatches, and assembly reviews. It is specifically referenced in the SOP for the creation, storage, and archiving of regulatory documents, indicating its relevance to managing and accessing such documents within the EMEA or Global Binder.</t>
  </si>
  <si>
    <t>To support a mock-up recall, a planner should follow these steps:
Acknowledge Receipt of Notification:
Confirm receipt of the mock recall notification as soon as possible, and no later than 12 hours after receiving it.
Communicate with Stakeholders:
Inform all relevant stakeholders according to the local SOP and RACI chart via email and/or phone.
Monitor and ensure that all stakeholders acknowledge the communication.
Retrieve Distribution Reports:
Obtain distribution reports for batch traceability to identify where the batch has been distributed.
Perform Batch Reconciliation:
Reconcile the batch quantities received in the respective market with the quantities stated in the memo at the time of batch release.
If there are discrepancies, note them in the Mock Recall Report.
Report to MMD Site and Management:
Prepare and submit a Mock Recall Report to the MMD site and management, detailing the findings and actions taken during the mock recall.
Complete and Share Mock Recall Closure Report:
Within 10 business days, complete and share the Mock Recall Closure Report with the MMD site and management.
Follow Timelines:
Ensure that the entire mock recall exercise is completed within 24 hours.
Documentation:
Attach all relevant distribution and sales reports to the final report, as applicable.
Document any gaps or issues identified during the mock recall in the gap analysis and action plan section.
Contact Information:
If there are any questions or further clarifications needed, reach out to the designated contact person (e.g., Naaz Dubash).
Simulation Only:
Remember that this is a simulation exercise, and no actions should be performed on real stock.
By following these steps, planners can effectively support a mock-up recall, ensuring that all necessary actions are taken promptly and accurately.</t>
  </si>
  <si>
    <t>Based on the provided context, a planner should handle a global event by following a structured and standardized process. Here are the key steps and responsibilities:
Initial Notification and Prescreening:
The Global Planning team is notified of a potential event and conducts a prescreen to determine its nature.
Event Classification:
Determine if the event is a product launch or deletion. If so, follow the specific Product Launch or Deletion Process.
If not, assess whether the event will result in a potential global or multi-regional supply impact.
Event Manager Assignment:
If the event has global or multi-regional impact, assign a Global Event Manager (GEM) and a Value Chain Leader (VCL).
Mobilize the team and initiate communication within 48 hours of event classification.
Data Collection and Action Plan Formulation:
Set data requirements and responsibilities.
Compile and analyze data to develop scenarios.
Propose options and formulate a high-level action plan.
Execution of Action Plan:
Define action timelines and ownership.
Establish criteria for closing the event.
Monitor assumptions and adjust the plan as needed.
Stabilization and Closure:
Continuously assess if the event is stabilized. If not, revisit and adjust the action plan.
Once stabilized, close the event by issuing a final event card.
Conduct a reflection session to share and incorporate learnings.
Communication and Coordination:
Use the Event Communication Card as the primary communication tool.
Ensure consistent messaging to all stakeholders.
Manage communications to senior leadership and provide oversight and guidance.
After Action Review (AAR):
Conduct an AAR to formally complete the Event Management Process.
Reflect on the event, collect feedback, and identify areas for continuous improvement.
Documentation and Reporting:
Maintain accurate records of all actions and communications.
Update the Event Tracker and organize Event Communication Cards in the designated TeamSpace.
Escalation and Support:
Leverage appropriate escalation levels to align with the event's severity.
Ensure that any obstacles are eliminated and necessary resources are enabled.
By following these steps, planners can effectively manage global events, ensuring minimal impact on supply, finances, and company reputation while maintaining clear and consistent communication throughout the process.</t>
  </si>
  <si>
    <t>Accuracy (1-5)</t>
  </si>
  <si>
    <t>Satisfaction (1-5)</t>
  </si>
  <si>
    <t>Time (sec)</t>
  </si>
  <si>
    <t>/</t>
  </si>
  <si>
    <t>Nr.</t>
  </si>
  <si>
    <t>Which is the policy  that could help a planner to recall a product ?</t>
  </si>
  <si>
    <t>Which is the policy  that could help a planner to recall a product, drill down only on documentes in EMEA or Global Binder ?</t>
  </si>
  <si>
    <t>EVENT COMMUNICATION CARD
Product Name(s)/Location(s)/Function(s)
Product Name: [Enter Product Name]
Location: [Enter Location]
Function: [Enter Function]
Product Background
One-two sentences about the product, use of product, competitors, etc.
[Enter product background]
Action Plan
Milestone/Next Steps	Target Completion Date	Owner
[Step 1]	[Date]	[Owner]
[Step 2]	[Date]	[Owner]
[Step 3]	[Date]	[Owner]
Team Members
[Enter names of the people regularly involved in the team meetings]
Close-Out
Final Resolution to the Event:
[Describe the conditions that have resolved the event]
Final Financial Impact:
$ [Enter USD]
Date Event Closed:
[Select the date the event was closed]
Reference Index
Merck Manufacturing Division — Knowledge Management
Additional Sections (if applicable)
Event Timeline
Phase	Date
Initiation	[Event initiation date]
Scoping	[Scoping completion (or target) date]
Formulating Data and Action Plan	[Formulating Data and Action Plan completion (or target) date]
Execution	[Execution completion (or target) date]
Closing and Reflection	[Closing and Reflection completion (or target) date]
Tier Escalation
Select a tier level: [Enter tier level]
Geographic Impact: [Select geographic impact of event. If local impact, enter market here]
Reason for Event Classification
Describe the condition(s) that have caused the issue to be escalated to this level, and require it to be handled as an event: [Enter reason]
Lead Contacts
Event Manager: [Select Event Manager]
Value Chain Lead: [Select Value Chain Leader]
People and Roles Involved
Enter all known colleagues currently aware of the EVENT issue and/or root cause: [Enter names]
Event Category
 Equipment
 Process
 Material
 Demand Upside
 Demand Downside
 Other
Supply Chain Stage
 Raw Materials
 Drug Substance
 Drug Product
 Packaging
 Finished Goods
 Other
High Level Description of Issue As Of [insert date]
[Enter high-level description]
In the past seven days:
Enter any items completed in the last week before the EVENT meeting that are pertinent to achieving re-supply: [Enter items]
From actions, we expect these results by these dates:
Enter any critical milestones (e.g., Fact Finding 12Dec16): [Enter milestones]
We need help from these people to accomplish:
Click here to bullet list specific needs and people you are requesting help from: [Enter needs and people]
Customer risk overview:
Number of Top Markets	Total Financial Risk Range
Impacted	Min. Financial Risk Total to Max. Financial Risk Total
Backorder	[Enter details]
Customer Stock out	[Enter details]
Allocation	[Enter details]
Footer
Merck Manufacturing Division — Knowledge Management
Proprietary
Page number: [Enter page number]
Logos: Merck (Be well), “125 Years”
This template provides a structured format for documenting and managing global events, ensuring all relevant information is captured and communicated effectively.</t>
  </si>
  <si>
    <t xml:space="preserve">Explain what a planner should do to support a mock-up recall  ? </t>
  </si>
  <si>
    <t>Do you have an example of a global event card ?</t>
  </si>
  <si>
    <t>The policy that could help a planner to recall a product is outlined in the Standard Operating Procedure (SOP) document titled "工厂药品召回管理辅助程序" (Factory Drug Recall Management Auxiliary Procedure), specifically SOP 编号 CN.SOP 8.40.001. This SOP details the steps for initiating a recall, including the public release of recall information, issuing recall notifications, and managing the recall process in compliance with regulatory requirements.</t>
  </si>
  <si>
    <t>Explain to me step-by-step, how i must proceed in order to set up an FTL shipment directly to market instead of going through a distribution center.</t>
  </si>
  <si>
    <t xml:space="preserve">To set up a Full Truck Load (FTL) shipment directly to the market instead of going through a distribution center, follow these steps:
1.	Identify the Shipment Requirements:
o	Determine the products and quantities that need to be shipped directly to the market.
o	Ensure that the products are ready for shipment and meet all necessary quality and compliance standards.
2.	Create a Stock Transfer Order (STO):
o	In SAP, navigate to the transaction for creating a Stock Transfer Order (STO). This can typically be done using the transaction code ME21N.
o	Enter the necessary details such as the sending plant, receiving location (market), and the materials to be shipped.
o	Ensure that the STO reflects the direct shipment to the market rather than routing through a distribution center.
3.	Lock Lines for Direct Shipment:
o	Use the transaction ME23N to lock the lines of the STO that are intended for direct shipment.
o	Select the lines for the SKUs to be included in the direct shipment and click on the padlock icon to lock them.
4.	Create Outbound Delivery:
o	Execute the transaction VL10B to create the outbound delivery for the direct shipment.
o	Ensure that only the lines that are not locked (or specifically locked for direct shipment) are picked up and delivered.
5.	Communicate with Logistics:
o	Inform the logistics team about the direct shipment requirement.
o	Provide them with the details of the STO and the outbound delivery, including the destination market and the expected delivery date.
6.	Prepare Shipment Documentation:
o	Prepare all necessary shipping documents, including the Bill of Lading (BOL), packing list, and any other required documentation.
o	Ensure that the documents reflect the direct shipment to the market.
7.	Coordinate with the Carrier:
o	Arrange for the carrier to pick up the shipment directly from the sending plant.
o	Provide the carrier with all necessary details, including the destination market, shipment date, and any special handling instructions.
8.	Monitor the Shipment:
o	Track the shipment to ensure it reaches the market as planned.
o	Communicate with the receiving market to confirm receipt and address any issues that may arise during transit.
9.	Update the System:
o	Once the shipment is delivered, update the SAP system to reflect the goods issue.
o	Use the transaction VL02N to post the goods issue and complete the shipment process.
By following these steps, you can set up an FTL shipment directly to the market, bypassing the distribution center and ensuring a streamlined delivery process.
</t>
  </si>
  <si>
    <t>Which steps do i have to take in SAP, if a PO will not be delivered this year anymore because the CMO can't produce the order?</t>
  </si>
  <si>
    <t xml:space="preserve">To handle a situation where a Purchase Order (PO) will not be delivered within the current year because the Contract Manufacturing Organization (CMO) cannot produce the order, you can follow these steps in SAP:
1.	Change the Delivery Date:
o	Transaction Code: ME22N (Change Purchase Order)
o	Steps:
1.	Enter the transaction code ME22N.
2.	Enter the PO number.
3.	Navigate to the item details and update the delivery date to a future date when the CMO can produce the order.
4.	Save the changes.
2.	Cancel the PO (if necessary):
o	Transaction Code: ME22N (Change Purchase Order)
o	Steps:
1.	Enter the transaction code ME22N.
2.	Enter the PO number.
3.	Select the line items that need to be canceled.
4.	Click on the trash can icon to delete the selected line items.
5.	Save the changes.
3.	Close the PO (if necessary):
o	Transaction Code: ME22N (Change Purchase Order)
o	Steps:
1.	Enter the transaction code ME22N.
2.	Enter the PO number.
3.	Navigate to the item details and set the final delivery indicator.
4.	Save the changes.
4.	Communicate with the Supplier:
o	After making the necessary changes in SAP, communicate with the CMO to confirm the new delivery date or the cancellation of the order.
o	Ensure that all stakeholders are informed about the changes to the PO.
5.	Update the Planning System:
o	If the PO is linked to any planning or MRP processes, ensure that the changes are reflected in the planning system to avoid any discrepancies.
6.	Document the Changes:
o	Document the changes made to the PO and the reasons for the changes for future reference and audit purposes.
By following these steps, you can manage the situation where a PO will not be delivered within the current year due to production issues at the CMO.
</t>
  </si>
  <si>
    <t>Explain the CMO Planners role and tasks in the IQV process</t>
  </si>
  <si>
    <t xml:space="preserve">The role and tasks of the CMO (Contract Manufacturing Organization) Planners in the IQV (Inventory of Questionable Value) process are outlined in the provided documents. Here is a summary of their responsibilities:
Role of CMO Planners in the IQV Process
Scope:
•	CMO Planners are responsible for managing inventory and ensuring that IQV processes are followed to mitigate risks associated with inventory that may become obsolete, damaged, or otherwise impaired.
Key Tasks:
1.	Monthly IQV Process:
o	Data Extraction: CMO Planners are responsible for extracting relevant data from the IQV tool to identify batches that may be at risk.
o	Risk Assessment: They must assess the risk associated with these batches, determining the probability of write-off and categorizing the inventory based on its risk level (High, Medium, Low).
o	Provisioning: Based on the risk assessment, they need to provision for potential write-offs in the financial records.
o	Disputes: If there are any disputes regarding the categorization or risk assessment of a batch, CMO Planners must raise these disputes and work with the IQV Process Stewards to resolve them.
o	Physical Discards: They are also responsible for managing the physical discard process for inventory that has been identified as no longer usable.
2.	Forecast Communication:
o	Aggregate Forecast: CMO Planners must aggregate the forecast for "Make" items by the CMO.
o	Communicate Forecast: They need to communicate this forecast to the CMO to ensure alignment and proper planning.
3.	Site Supply Review (SSR):
o	Initiate and Moderate SSR: CMO Planners are responsible for initiating, moderating, and documenting regular Site Supply Review discussions with the CMO. This includes reviewing inventory levels, identifying potential risks, and ensuring that any issues are addressed promptly.
4.	Profit and Volume Plan Reviews:
o	Consolidate and Facilitate Reviews: On a quarterly basis, CMO Planners must consolidate and facilitate profit and volume plan reviews with the CMO. This involves ensuring that the financial and volume plans are aligned with the overall supply chain strategy and addressing any discrepancies.
Additional Responsibilities:
•	Master Data Management:
o	Determine Planning Parameters: CMO Planners must determine the planning parameters for "Make" items at the CMO based on input from the ExM Operations Manager.
o	Set Up/Change Master Data: They are responsible for triggering the setup or changes of master data for production parameters related to "Make" items.
Summary:
CMO Planners play a critical role in the IQV process by managing inventory risks, ensuring accurate forecasting and communication with CMOs, facilitating regular reviews, and maintaining master data. Their tasks are essential for mitigating financial risks associated with inventory and ensuring that the supply chain operates smoothly and efficiently.
</t>
  </si>
  <si>
    <t>Why is it necessary for the CMO Planner of FIS and Farmhispania to be based in Switzerland?</t>
  </si>
  <si>
    <t>The provided context does not explicitly state why the CMO Planner of FIS and Farmhispania needs to be based in Switzerland. However, it is common for companies to centralize certain planning roles in specific locations to streamline operations, ensure consistency in planning processes, and leverage regional expertise. Switzerland, being a hub for many pharmaceutical companies, might offer strategic advantages such as proximity to key manufacturing sites, regulatory bodies, and logistical networks. If you need a more specific reason, please provide additional context or clarify further.</t>
  </si>
  <si>
    <t>What is the difference between Batch and Bulk?</t>
  </si>
  <si>
    <t xml:space="preserve">Based on the provided context, here are the distinctions between "Batch" and "Bulk":
1.	Batch:
o	Definition: A batch refers to a specific quantity of material or product that is produced or processed at one time under uniform conditions. Each batch is typically assigned a unique identifier or batch number to track its production and quality attributes.
o	Usage: Batches are used to manage and trace production lots, ensuring quality control and regulatory compliance. Batch determination involves selecting specific batches for use in production or distribution based on predefined criteria such as expiration date, quality status, and other characteristics.
o	Example: In the context of SAP, batch determination is performed to allocate specific batches to process orders, ensuring that the selected batches meet the required criteria (e.g., quality status, expiration date).
2.	Bulk:
o	Definition: Bulk refers to large quantities of material that are stored and handled in mass, without being divided into smaller, discrete units or batches. Bulk materials are typically used as raw materials or intermediates in manufacturing processes.
o	Usage: Bulk materials are managed in large quantities and are often subdivided into smaller batches for specific production runs or packaging. Bulk inventory management involves setting parameters for minimum and maximum lot sizes, safety stock, and other inventory control measures.
o	Example: In the context of the provided documents, bulk inventory management includes setting batch size parameters for receiving and manufacturing plants, and ensuring that bulk materials are appropriately allocated and managed according to production strategies.
In summary, the key difference lies in the scale and handling of the materials:
•	Batch: Refers to specific, traceable quantities produced under uniform conditions, used for quality control and regulatory compliance.
•	Bulk: Refers to large, undivided quantities of material, managed in mass and often subdivided into batches for specific uses.
</t>
  </si>
  <si>
    <t>How do i calculate the PBD if the RIDef is "QP release"?</t>
  </si>
  <si>
    <t xml:space="preserve">To calculate the Planned Batch Disposition (PBD) when the RIDef (Release Instruction Definition) is "QP release," you need to follow the specific guidelines and procedures outlined in your organization's SOPs (Standard Operating Procedures). Based on the provided context, here are the general steps you might follow:
1.	Identify the RIDef "QP release":
o	Ensure that the RIDef for the batch is set to "QP release." This indicates that the Qualified Person (QP) is responsible for the final release of the batch.
2.	Review the Batch Records:
o	Ensure that all Electronic Batch Records (EBRs) and associated batch documents have been reviewed and approved as per the relevant SOPs (e.g., SOP-17947 by IPT and QA IPT before QA BRS review).
3.	Check for Deviations and Quality Notifications:
o	Review any deviations, quality notifications (QNs), and ensure they are closed or addressed as per SOP-126.
4.	Review Laboratory Testing and Change Requests:
o	Confirm that all laboratory testing results meet specifications and that any change requests have been reviewed and approved.
5.	Review Genealogy and Expiry Dates:
o	Ensure that the batch genealogy is complete and accurate, and that the expiry dates are correctly calculated and documented.
6.	Update the COA Data Table:
o	Populate the Certificate of Analysis (COA) data table with relevant restrictions and unexpected deviations applicable to the batch. This should be second-checked by the QP.
7.	Confirm Health Authority Requirements:
o	For specific products (e.g., CBER vaccine batches), confirm that all Health Authority requirements have been met and that the relevant inspection characteristics are closed.
8.	Calculate the PBD:
o	The PBD is typically calculated based on the completion of all required reviews and approvals. The exact calculation may depend on your organization's specific procedures, but generally, it involves ensuring that all necessary steps have been completed and documented.
9.	Document the PBD:
o	Record the PBD in the appropriate system (e.g., SAP) and ensure that it is communicated to all relevant stakeholders.
10.	Final Approval by QP:
o	The QP performs the final review and approval, ensuring that all steps have been completed and that the batch is ready for release.
If you need more specific details or if there are additional steps unique to your organization, please refer to the relevant SOPs (e.g., SOP-17946, SOP-126, SOP-17947) and any other applicable guidelines. If you have access to these documents, they will provide the precise instructions and criteria for calculating the PBD when the RIDef is "QP release."
</t>
  </si>
  <si>
    <t>what is the API required to produce Emend IV?</t>
  </si>
  <si>
    <t>The API required to produce Emend IV is Fosaprepitant Dimeglumine.</t>
  </si>
  <si>
    <t>Can you give me an overview of the timeline, in which the necessary tasks / steps, and who is responsible for them, to produce FiGo at a CMO are performed? (After the product is launched and production has already started)</t>
  </si>
  <si>
    <t xml:space="preserve">Certainly! Based on the provided context, here is an overview of the timeline, necessary tasks/steps, and responsible parties for producing FiGo at a Contract Manufacturing Organization (CMO) after the product has been launched and production has already started:
Timeline and Steps for Producing FiGo at a CMO
Weekly Tasks
1.	Process Exception Messages in Rapid Response (RR)
o	Responsible: CMOP (Contract Manufacturing Operations Planning)
o	Frequency: Weekly (Monday)
o	Task: Address and resolve exception messages related to SubCon POs.
2.	Participate in Tier Meetings
o	Responsible: CMOP
o	Frequency: Weekly
o	Task: Attend meetings with ExM and CMOs to discuss ongoing operations and issues.
Monthly Tasks
1.	Convert SubCon Preqs to SubCon POs
o	Responsible: CMOP
o	Frequency: Monthly
o	Task: Convert subcontracting purchase requisitions to purchase orders and adjust as needed.
2.	Review IQV Reports
o	Responsible: CMOP
o	Frequency: Monthly
o	Task: Review inventory quality and variance reports.
3.	Lead IQV Tool Updates
o	Responsible: CMOP
o	Frequency: Monthly
o	Task: Update the IQV tool and provide explanations for demand or planning issues.
4.	Support Stability Requests
o	Responsible: CMOP
o	Frequency: Monthly
o	Task: Identify suitable batches/vendors and enter necessary data into SDS.
5.	Supply Chain Metrics Review
o	Responsible: CMOP
o	Frequency: Monthly (Week 1/2)
o	Task: Investigate and report reasons for supply chain misses for current ExM CMOs.
Quarterly Tasks
1.	Scenario Creation in Rapid Response
o	Responsible: CMOP
o	Frequency: Quarterly
o	Task: Create scenarios in Rapid Response post-review with the E2E planner.
2.	Validate Actuals for “Make” Items
o	Responsible: CMOP
o	Frequency: Quarterly
o	Task: Validate actual production versus planned production for “Make” items at the CMO.
Adhoc Tasks
1.	Ensure EFFO for Bulk with Pack CMO
o	Responsible: CMOP
o	Frequency: Adhoc
o	Task: Ensure efficient flow of bulk materials with the packaging CMO.
2.	Planning &amp; Ordering Special Batches
o	Responsible: CMOP
o	Frequency: Adhoc
o	Task: Plan and order special batches as needed.
3.	Gatekeeper of the Order Book
o	Responsible: CMOP
o	Frequency: Adhoc
o	Task: Maintain and manage the order book for the CMO.
4.	Initiate Supply Chain Improvements
o	Responsible: CMOP
o	Frequency: Adhoc
o	Task: Develop and implement supply chain improvements, including metrics and safety stocks.
5.	Coordination of Contingency Scenarios
o	Responsible: CMOP
o	Frequency: Adhoc
o	Task: Develop and coordinate contingency plans for bulk consumption to prevent potential supply disruptions.
6.	Consult ExM in Supply Chain Questions
o	Responsible: CMOP
o	Frequency: Adhoc
o	Task: Provide consultation to ExM on supply chain-related questions.
7.	SAP Setup for New Products
o	Responsible: CMOP
o	Frequency: Adhoc
o	Task: Set up SAP for new products in existing plants.
8.	Onboarding New Plants
o	Responsible: CMOP
o	Frequency: Adhoc
o	Task: Onboard new plants into the focus factory.
9.	Allocating Raw Materials
o	Responsible: CMOP
o	Frequency: Adhoc
o	Task: Allocate raw materials if not managed by the E2E planning team.
10.	Interface Between ExM and E2E Planner
o	Responsible: CMOP
o	Frequency: Adhoc
o	Task: Act as the interface between ExM and the E2E planner, evaluating opportunities.
11.	Support for EXM Process Setups
o	Responsible: CMOP
o	Frequency: Adhoc
o	Task: Support ExM in setting up processes like Ariba and SAP.
12.	Development and Visualization of SCM ExM Metrics
o	Responsible: CMOP
o	Frequency: Adhoc
o	Task: Develop and visualize supply chain metrics for ExM.
13.	Support ExM in Yield Calculations
o	Responsible: CMOP
o	Frequency: Adhoc
o	Task: Assist ExM in calculating production yields.
Summary
The production of FiGo at a CMO involves a combination of weekly, monthly, quarterly, and adhoc tasks managed primarily by the CMOP. These tasks include planning, order management, inventory review, stability support, supply chain metrics, and coordination with ExM and E2E planners. The CMOP is responsible for ensuring efficient operations, addressing exceptions, and implementing improvements to maintain a smooth supply chain.
</t>
  </si>
  <si>
    <t>Why are tradesteps with MSDIS as an entity necessary?</t>
  </si>
  <si>
    <t xml:space="preserve">Tradesteps with MSDIS as an entity are necessary for several reasons:
1.	Financial Flow Management: MSDIS (Merck Sharp &amp; Dohme Intercompany Services) entities are often used to manage the financial transactions within the supply chain. By routing transactions through MSDIS entities, the company can ensure that financial flows are properly recorded and managed, which is crucial for accounting, tax compliance, and financial reporting.
2.	Regulatory Compliance: Using MSDIS entities helps ensure that the company complies with various regulatory requirements. This includes customs regulations, import/export controls, and other legal requirements that may vary by country. By having a centralized entity like MSDIS handle these transactions, the company can maintain better control and oversight.
3.	Operational Efficiency: MSDIS entities can act as intermediaries that streamline the supply chain process. They can consolidate orders, manage inventory, and coordinate shipments, which can lead to more efficient operations and reduced lead times.
4.	Risk Management: Routing transactions through MSDIS entities can help manage and mitigate risks. This includes financial risks, such as currency fluctuations and credit risks, as well as operational risks, such as supply chain disruptions.
5.	Strategic Planning: MSDIS entities can be used to implement strategic initiatives, such as triangular trade and quad trade setups. These setups can optimize the supply chain by leveraging different trade agreements, tax benefits, and logistical advantages.
6.	Automation and Standardization: Using MSDIS entities allows for the automation and standardization of processes. This includes the automatic creation of purchase orders, stock transport orders, and goods receipts, which can reduce manual intervention and errors.
7.	Visibility and Control: By centralizing transactions through MSDIS entities, the company gains better visibility and control over its supply chain. This includes tracking the movement of goods, managing inventory levels, and ensuring that all transactions are properly documented and recorded.
In summary, tradesteps with MSDIS as an entity are necessary to ensure efficient, compliant, and controlled financial and operational flows within the supply chain. They help manage risks, streamline processes, and provide strategic advantages that support the overall goals of the company.
</t>
  </si>
  <si>
    <t>Great answer, not much to add. Maybe the answer could have included a notice, which SOPs / Wis must be taken into account when working with MSDIS.</t>
  </si>
  <si>
    <t>Although the content of the answer is correct, only tasks of the CMOP have been mentioned. I was looking for an overview regarding the steps and their order, which take place until a FiGo batch is produced: -&gt; PO placement &amp; sharing of forecast, confirmation by CMO, updating RDD SDD in SAP, Production, CMO QA, GR, EQA, Shipment scheduling, pick up and delivery, PGI etc.</t>
  </si>
  <si>
    <t xml:space="preserve">PBD = Pack by date
RIDef = definition of the regulatory implementation change
My question was about how to calculate the pack by date.
The AI was not able to understand the question and provided a “generalistic” answer on how to proceed. My input was without context and might have received a usable answer if more precise, however, in cases where the context of the question is not understood, I would prefer if the AI would ask for more information rather than providing me with a useless answer.
</t>
  </si>
  <si>
    <t>I did not expect a better answer and also, I do not know the exact reasons myself. I would have expected something regarding the tax situation and the companies corresponding set up in Europe.</t>
  </si>
  <si>
    <t>70% of the answer contain CMO planner tasks which do not directly have anything to do with the IQV process. Although not wrong, the answer is longer than necessary.</t>
  </si>
  <si>
    <t>Satisfactory explanation of the necessary steps to be taken in SAP, however a short explanation as when to close or delete a PO would’ve been great.</t>
  </si>
  <si>
    <t>Based on the answer I would be able to set up the shipment in SAP.
However, alignment with all relevant stakeholders is insufficient. Especially in regards to  the FFT’s Ops Lead and colleagues in DF -&gt; alignment and a greenlight from either of them should be received before executing any shipment that deviates from standard.</t>
  </si>
  <si>
    <t xml:space="preserve">1.1. The responsibility for new material codes creation or extension to the plant lies with the Material Master Data Steward. This role involves determining if the material already exists in SAP and, if so, requesting an extension of the existing material to the relevant site through the raising of an MDCCW request. If the material does not exist in SAP, the Material Master Data Steward must request the creation of a new material. This process is detailed in the SOPs and involves collaboration with the Regional Information Steward and adherence to the specified procedures and approval workflows.
***
1.2. The initiation of a code creation or extension for the ExM plant should be done by the ExM Operations Manager (ExM OM), ExM Supply Chain Management Planner (SCM Planner), or HUB Planner. They are responsible for notifying the ExM ISO of the requirement for a new or extended material using the appropriate forms and ensuring that all necessary information is provided for the completion of the request.
***
1.3. To initiate a code creation, follow these steps based on the provided context:
1.	Log into the SAP System:
o	Open the SAP Easy Access screen.
2.	Enter the Transaction Code:
o	In the command field, enter the transaction code relevant to your task. For example, use CS01 to create a Bill of Material (BOM) or ZGSCM_COR1 to create a Process Order.
3.	Navigate to the Create Class Screen:
o	For creating a new class, use the transaction code CL02 (typically used for changing a class but can be used for creation in this context).
4.	Fill in the Required Fields:
o	Class: Enter the class name, e.g., BLOCKPLANNING_XXXX where XXXX is the plant number.
o	Class Type: Select the appropriate class type, e.g., 019 for Work Center Class.
o	Valid From: Enter the start date for the class validity.
o	Other Fields: Fill in additional fields as required, such as Description, Status, Organizational Area, etc.
5.	Set Classification Options:
o	In the “Same classification” section, choose the appropriate option (e.g., “Do not check”).
o	Ensure to set the “Valid To” date appropriately, e.g., 31.12.9999.
6.	Save the Entry:
o	After filling in all the necessary details, remember to save the configuration by clicking the save icon or pressing the save button.
7.	Notify Stakeholders:
o	If required, notify relevant stakeholders about the new code creation.
By following these steps, you can initiate and complete the code creation process in the SAP system.
</t>
  </si>
  <si>
    <t xml:space="preserve">2.1. Are routes maintained in ECC for road transportations expressed in business days or calendar days?
2.2. Are routes maintained in ECC for air transportations expressed in business days or calendar days?
2.3. Are routes maintained in ECC for road and air transportations expressed in business days or calendar days?
2.4. What is TVRO table?
</t>
  </si>
  <si>
    <t>2.1. Routes for road transportation in ECC are expressed in business days. This is indicated by the note that the calendar is maintained within the TVRO table, which drives whether the transit time is maintained in calendar days or business days. For road transportation, the transit time is typically maintained in business days.
2.2. Routes for air transportation in ECC are expressed in calendar days. This is indicated by the note that the calendar is maintained within the TVRO table, which drives whether the transit time is maintained in calendar days versus business days. Specifically, the calendar W8 indicates that transit time is maintained in calendar days.
2.3. Routes for road and air transportations in ECC are expressed in calendar days. This is indicated by the note that the calendar is maintained within the TVRO table, which drives whether the transit time is maintained in calendar days versus business days. Specifically, the calendar W8 indicates that transit time is maintained in calendar days, not business days.
2.4. The provided context does not contain information about a "TVRO" table. If you have more specific details or another context where this table is mentioned, please provide that so I can assist you better.</t>
  </si>
  <si>
    <t>What is the minimum threshold to raise a dispute and can the costs for a few batches be combined to reach the threshold?</t>
  </si>
  <si>
    <t>The minimum threshold to raise a dispute is 100K. Yes, the costs for a few batches can be combined to reach this threshold. Disputes can be raised for inventory batches or the sum of batches linked to an event, as long as the combined value equals or exceeds 100K.</t>
  </si>
  <si>
    <t xml:space="preserve">	Please describe a process for raising an IQV dispute for the stock in the ExM plant</t>
  </si>
  <si>
    <t>To raise an IQV (Inventory of Questionable Value) dispute for stock in the ExM (External Manufacturing) plant, follow these steps based on the provided context:
Steps to Raise an IQV Dispute
1.	Identify the Batch for Dispute:
o	Ensure the batch or the sum of batches linked to an event meets the dispute threshold, which is equal to or exceeding $100K.
o	Verify that the batch is flagged as high risk in the IQV tool.
2.	Initial Notification:
o	Alert the IQV Process Steward that you have identified a batch requiring a dispute. This can be done by notifying the designated IQV team members (e.g., Anne Peterson).
3.	Complete the Risk Assessment:
o	Perform a thorough risk assessment within the IQV tool. Ensure all relevant fields are completed, including the probability of write-off, quantity reserved, issue, and SCM comments.
o	Document the root cause and provide detailed comments explaining why the default budget or profit center should not accept the charge.
4.	Prepare the Dispute Form:
o	Complete the dispute form with all necessary details, including the batch information, root cause analysis, and any supporting documentation.
o	Ensure the form is accurate and comprehensive to facilitate the review process.
5.	Submit the Dispute:
o	Submit the completed dispute form to the IQV Process Steward and notify the relevant stakeholders, including the SCM team and the ExM plant representatives.
o	Ensure the dispute is raised within 30 days of the initial IQV reserve.
6.	Review and Resolution:
o	The SCM team will have 60 days to resolve the dispute. During this period, they will review the submitted dispute form and assess the validity of the claim.
o	If necessary, the dispute will be discussed in a dispute meeting involving representatives from GHH, MMD, and SCM to reach a consensus.
7.	Escalation (if required):
o	If the dispute involves a consolidated cost greater than $1M and is not resolved in the initial dispute meeting, escalate the issue to the Dispute Resolution Board (DRB).
o	The DRB, consisting of knowledgeable individuals from various business areas, will prioritize and resolve the dispute, making a final decision on the financial impact.
8.	Final Decision and Communication:
o	Once a decision is reached, the SCM inventory &amp; IQV Management COE / Inventory Compliance will send written approval for the charge change via email to all parties involved.
o	If the root cause is not obvious or no agreement is reached, the IQV charge will remain in the division it is currently assigned to.
9.	Documentation and Record Keeping:
o	Ensure all documentation related to the dispute, including the dispute form, risk assessment, and final decision, is properly recorded and stored for future reference and auditing purposes.
By following these steps, you can effectively raise and manage an IQV dispute for stock in the ExM plant, ensuring compliance with the established procedures and timelines.</t>
  </si>
  <si>
    <t>Please provide a summary of IQV costs in plant 1077 in 2025</t>
  </si>
  <si>
    <t>The provided context does not contain specific information about IQV costs in plant 1077 for the year 2025. If you have more specific details or additional documents related to plant 1077, please provide them so I can assist you further.</t>
  </si>
  <si>
    <t>How to update the component material in a subcontracting PO?</t>
  </si>
  <si>
    <t xml:space="preserve">To update the component material in a subcontracting Purchase Order (PO) within the SAP system, follow these steps:
1.	Open the Change Purchase Order Transaction:
o	Enter transaction code ME22N in the command field and press Enter.
2.	Select the Purchase Order:
o	In the Change Purchase Order screen, enter the PO number you wish to update and press Enter.
3.	Navigate to the Item Overview:
o	In the Item Overview section, locate the line item for which you need to update the component material.
4.	Access the Material Data:
o	Select the line item and click on the "Material Data" tab to view the details of the component materials.
5.	Update the Component Material:
o	In the Material Data tab, you will see the list of component materials associated with the subcontracting PO.
o	Select the component material you wish to update.
o	Enter the new material number or make the necessary changes to the existing material details.
6.	Save the Changes:
o	After updating the component material, click on the Save icon to save the changes to the PO.
7.	Verify the Changes:
o	It is good practice to verify that the changes have been correctly applied. You can do this by reviewing the updated PO details in the system.
Additional Notes:
•	Ensure that the new component material is valid and available in the system.
•	If the component material change affects the overall BOM or production process, coordinate with relevant departments to ensure consistency and accuracy.
•	Depending on your organization's SOPs, additional approvals or notifications may be required after making changes to a subcontracting PO.
By following these steps, you can successfully update the component material in a subcontracting PO within the SAP system.
</t>
  </si>
  <si>
    <t>Who is responsible for updating RCT and in particular for new product introductions at CMOs?</t>
  </si>
  <si>
    <t xml:space="preserve">
For new product introductions at CMOs, the responsibility for updating the RCT (Request Change Ticket) process involves multiple roles, but the primary responsibility lies with the ExM Ops Lead and the Hub Site Lead. Here are the specific roles and their responsibilities:
1.	ExM Ops Lead (MSD):
o	Coordinates the overall relationship between Merck and the CMO, ensuring compliance with the Master Service Agreement (MSA).
o	Attends the pre-SSR (Supply &amp; Sales Review) meeting and coordinates the inputs needed for the Cross-Company SSR.
2.	Hub Site Lead (MSD):
o	Supports and advises the ExM Ops Lead with a thorough understanding of the product portfolio.
o	Attends the pre-SSR meeting and coordinates the inputs needed for the Cross-Company SSR.
o	Represents the non-attending E2E planners and provides further feedback following the SSR meeting.
These roles ensure that the necessary updates and coordination are managed effectively for new product introductions at CMOs.
</t>
  </si>
  <si>
    <t>Which steps are included in the transit time from the ExM plant to a market DC?</t>
  </si>
  <si>
    <t>The transit time from the ExM plant to a market DC includes the following steps:
1.	Goods Issue Processing Time: This involves the preparation and documentation time at the sending site, including pick and pack, and loading time before the goods are issued.
2.	Loading Time: The time required to load the goods onto the transportation vehicle.
3.	Transit Time: The actual time taken for the goods to be transported from the ExM plant to the market DC. This is the door-to-door transportation time.
4.	Goods Receipt Processing Time: The time taken at the receiving site to process the goods receipt, including unloading and any necessary inspections.
These steps are part of the overall logistics process and are maintained in the ECC system, with the transit time specifically defined in the TVRO table. The transit time is measured in calendar days and is a key component of the route maintained in the TROLZ table.</t>
  </si>
  <si>
    <t xml:space="preserve">
9.1.
To estimate the pack by date for an artwork (AW) change at the ExM plant with a Regulatory Implementation Date (RID) definition of QP release, follow these steps:
1.	Identify the QP Release Date: Determine the QP Release Date, which is the date by which the new artwork must be implemented.
2.	Calculate the Pack by Date: The pack by date should be set to ensure that all products packed after this date will have the new artwork and will be ready for QP release. Typically, this involves working backward from the QP Release Date to allow sufficient time for packaging and any necessary quality checks.
3.	Coordination with ExM Planner: The ExM Planner or ExM Operations Manager should coordinate with the CMO (Contract Manufacturing Organization) to monitor the arrival of bulk materials and ensure that the Actual Bulk Receipt Date is recorded in the SDS (Supply and Demand System).
4.	Review Packaging Forecasts: The Packaging Planner should compare the packaging forecast with the stability requirements and identify the Date of Manufacture for the stability batch planned for packaging.
5.	Check Bulk DOM: Ensure that the available bulk Date of Manufacture (DOM) is less than 55 days old (or will be less than 70 days old on the actual packaging date). If the bulk DOM is greater than 55 days, check for another manufacturing/packaging opportunity that can meet the 90-day requirement. If no such opportunity exists, escalate the issue as per the Stability End to End Process Escalation map.
6.	Create Process Orders: For bulk to be packaged by an MMD site, the Packaging Planner should create the process order, assign the bulk batch number and the finished goods batch number to the process order, and include the stability sample volume with the shop floor paperwork.
7.	Adjust Factory Plan or SAP Revision Level: If necessary, adjust the factory plan or the SAP revision level according to the AMS system and SAP system connection operation guidance (CN.WI.6.90.002).
8.	Escalate if Needed: If the Pack by Date cannot be met, the Packaging Planner should escalate the issue to their Tier 3 and follow the escalation process as described in the Stability End to End Process Escalation map.
By following these steps, you can estimate and set the pack by date to ensure that the new artwork changes are implemented in time for the QP release.
9.2.
To estimate the pack by date for materials using the current artwork (AW) version at ExM sites when the RID (Regulatory Implementation Date) definition is QP (Qualified Person) release, follow these steps:
1.	Consult AMS Blue for Market Requirements:
o	Check the AMS Blue system for the market requirements, including the RID (import-by date, sell-by date, pack-by date, QP-release definition).
2.	Check Appropriate Systems:
o	Use systems like RapidResponse (RR) and Comet to propose a suitable pack-by date.
3.	Review Planning Sheets:
o	In RapidResponse, review the planning sheets for stock status and production plans (FPWOs) of applicable products before new artwork is available.
4.	Create a Child Scenario:
o	Create a child scenario to make changes such as:
	Delaying packaging orders due to the blocking of the old artwork.
	Reducing quantities of current packaging orders.
	Packing as planned with reassurance on LASD extension.
5.	Assess Scenario Impact:
o	Evaluate the impact of the scenario, considering:
	The most applicable strategy that can be accommodated, considering lead times and transportation modes.
	Component write-offs (feedback from Comet).
	Potential stock-out of finished goods (FG) in the market.
	Potential FG discard in the market or distribution.
6.	Agree on the Best Approach:
o	Finalize and implement the chosen approach in Comet order changes.
By following these steps, you can estimate the pack by date for materials using the current artwork version at ExM sites, ensuring compliance with the QP release definition and market requirements.
</t>
  </si>
  <si>
    <t xml:space="preserve">
What is the difference between requested delivery date and statistical delivery date in the subcontracting PO and which one needs to be up to date to ensure correct dates in Rapid Response?</t>
  </si>
  <si>
    <t xml:space="preserve">The difference between the Requested Delivery Date (RDD) and the Statistical Delivery Date (SDD) in the context of a subcontracting Purchase Order (PO) is as follows:
•	Requested Delivery Date (RDD): This is the date provided by the customer indicating when they want their order to be delivered. It is used to measure the Line Item Fill Rate (LIFR) by comparing the actual delivery date (proof of delivery, POD) against the RDD. If the POD is not available, the planned goods issue (GI) date is measured against the actual GI date.
•	Statistical Delivery Date (SDD): This is the target date for the delivery of goods to the receiving site dock, calculated by SAP. The SDD is used to determine whether a delivery is considered "On Time." A delivery is "On Time" if the actual delivery date falls within a range of 30 calendar days early and 1 business day late of the SDD.
To ensure correct dates in Rapid Response, the Statistical Delivery Date (SDD) needs to be up to date. The SDD is crucial for calculating whether deliveries are on time and for planning purposes within Rapid Response. Keeping the SDD accurate ensures that the system can correctly evaluate delivery performance and align supply chain activities accordingly.
</t>
  </si>
  <si>
    <t xml:space="preserve">RDD definition is not relevant for ExM.
Statement that it is the SDD that needs to be up to date to ensure correct planning within Rapid Response is wrong. Correct answer should be RDD. </t>
  </si>
  <si>
    <t xml:space="preserve">The answer (9.1) is overly complicated, with unnecessary steps that aren’t relevant to calculating the pack-by date. The first two points already address the question at a high level. Steps 4–6 pertain to stability batches, which is a separate topic and not relevant to this question.
Same question, phrased in a different way (9.2), receives a similarly overly complicated answer, without providing actionable insights, lacking consistency. </t>
  </si>
  <si>
    <t>Transit time refers to the door-to-door transportation duration. It does not include GI processing time (pre-shipment) or GR processing time (dock-to-stock). While the transit time bucket begins at GI and ends at GR, those processing activities are excluded from the transit lead time itself.
The descriptions accurately explain the individual lead times, but they are misleading about what transit time actually encompasses.</t>
  </si>
  <si>
    <t>The provided answer is incorrect. Neither the ExM Ops Lead nor the Hub Site Lead is responsible for this (and in many CMOs, the Hub Site Lead role doesn’t exist). According to SOP-2323 Destination Control (RCT Request), responsibility for updating the RCT for new launches lies with the E2E Planner or NPI/Lifecycle Management. In general, maintaining the RCT table falls under Demand Fulfillment.</t>
  </si>
  <si>
    <t>The answer is largely correct, but it lacks some details in step 5 about how to navigate to the appropriate overview.</t>
  </si>
  <si>
    <t>No answer provided</t>
  </si>
  <si>
    <t xml:space="preserve">The steps are generally ok, but there are gaps in the details (for example, the dispute window, Anne Peterson is not the correct contact, and disputes should be raised in the Global Dispute Tracker). </t>
  </si>
  <si>
    <t>Answer is accurate and aligned with the SOP.</t>
  </si>
  <si>
    <t xml:space="preserve">Q 2.1/2: Answers are accurate (routes for road transport are in business days, for air – in calendar days)
Q 2.3: when both conditions (road and air) are combined in one question, the tool provides a partially wrong answer, i.e., calendar days for both conditions.
Q 2.4: no answer was provided about the TVRO table mentioned in previous answers. </t>
  </si>
  <si>
    <t>Q 2.1: The tool described who executes the process, not who initiates/owns it, as was expected (described process is ok high-level)
Q 2.2. (follow-up):  It answered correctly but lacked actionable “how-to” steps, forcing another follow-up.
Q 2.3. (follow-up):  It broke the logical chain—explained how ISO executes instead of how an ExM OM / Planner initiates. The tool isn’t maintaining follow-up logic across questions.
Additionally, the described process to initiate a code creation does not seem to be correct / relevant for Exm ISO who have different processes/forms compared to EMEA ISO.</t>
  </si>
  <si>
    <t>Participant:</t>
  </si>
  <si>
    <t>Participants:</t>
  </si>
  <si>
    <t xml:space="preserve">Participant: </t>
  </si>
  <si>
    <t>Averages:</t>
  </si>
  <si>
    <t>1.1. Who is responsible for new material codes creation or extension to the plant?
Follow-up questions:
1.2. Who should initiate a code creation or extension for the ExM plant?
1.3. How to initiate a code creation?</t>
  </si>
  <si>
    <t>Find a way to instruct the AI to prioritize pulling info in hieranchy, align with Bert to know which hierancy should be followed. Also, add accronym data source. Add function to show pictures of referenced materials. Make sure</t>
  </si>
  <si>
    <t>10) /</t>
  </si>
  <si>
    <t>9) /</t>
  </si>
  <si>
    <t>8) /</t>
  </si>
  <si>
    <t>7) /</t>
  </si>
  <si>
    <t>6) /</t>
  </si>
  <si>
    <t>5) /</t>
  </si>
  <si>
    <t>4) /</t>
  </si>
  <si>
    <t>3) /</t>
  </si>
  <si>
    <t>2) /</t>
  </si>
  <si>
    <t>1) /</t>
  </si>
  <si>
    <t>Accuracy</t>
  </si>
  <si>
    <t>Total Participants:</t>
  </si>
  <si>
    <t>Total Entries:</t>
  </si>
  <si>
    <t>Satisfaction</t>
  </si>
  <si>
    <t>Time</t>
  </si>
  <si>
    <t>Very Satsified</t>
  </si>
  <si>
    <t>Satisfied</t>
  </si>
  <si>
    <t>Neutral</t>
  </si>
  <si>
    <t>Unsatisfied</t>
  </si>
  <si>
    <t>(5/5)</t>
  </si>
  <si>
    <t>(4/5)</t>
  </si>
  <si>
    <t>(3/5)</t>
  </si>
  <si>
    <t>(2/5)</t>
  </si>
  <si>
    <t>Very Unsatisfied</t>
  </si>
  <si>
    <t>(1/5)</t>
  </si>
  <si>
    <t>Total Averages:</t>
  </si>
  <si>
    <t>Participant 1:</t>
  </si>
  <si>
    <t>Participant 2:</t>
  </si>
  <si>
    <t>Participant 3:</t>
  </si>
  <si>
    <t>Participant 4:</t>
  </si>
  <si>
    <t>Participant 5:</t>
  </si>
  <si>
    <t>Participant 6:</t>
  </si>
  <si>
    <t>Participant 7:</t>
  </si>
  <si>
    <t>Participant 8:</t>
  </si>
  <si>
    <t>Participant 9:</t>
  </si>
  <si>
    <t>Participant 10:</t>
  </si>
  <si>
    <t>Satsifaction</t>
  </si>
  <si>
    <t>Median</t>
  </si>
  <si>
    <t>Lower Quartile</t>
  </si>
  <si>
    <t>Upper Quartile</t>
  </si>
  <si>
    <t>Minimum</t>
  </si>
  <si>
    <t>Maximum</t>
  </si>
  <si>
    <t>9.1
How to estimate the pack by date for AW change at the ExM plant with RID definition QP release?
9.2.
How can the pack by date for materials using current AW version at ExM sites be estimated when the RID definition is QP release?</t>
  </si>
  <si>
    <t>Trial</t>
  </si>
  <si>
    <t>Threads</t>
  </si>
  <si>
    <t>Extraction Time [min]</t>
  </si>
  <si>
    <t>Progress [%]</t>
  </si>
  <si>
    <t>Progress [min]</t>
  </si>
  <si>
    <t>Files</t>
  </si>
  <si>
    <t>QDocs</t>
  </si>
  <si>
    <t>This is sensitive information and shouldn’t be displayed</t>
  </si>
  <si>
    <t>Identified Subcategories [%]</t>
  </si>
  <si>
    <t>Identified Main Steps [%]</t>
  </si>
  <si>
    <t>Claude 4.5</t>
  </si>
  <si>
    <t>Gemini 3 Pro</t>
  </si>
  <si>
    <t>Gemini 2.5 Pro</t>
  </si>
  <si>
    <t>GPT-5</t>
  </si>
  <si>
    <t>GPT-4</t>
  </si>
  <si>
    <t>LLM</t>
  </si>
  <si>
    <t>Comparison LLM Models Overall</t>
  </si>
  <si>
    <t>Results Threading QDoc</t>
  </si>
  <si>
    <t>Frequency Rating 5:</t>
  </si>
  <si>
    <t xml:space="preserve">Frequency Rating 4: </t>
  </si>
  <si>
    <t>Frequency Rating 3:</t>
  </si>
  <si>
    <t>Frequency Rating 2:</t>
  </si>
  <si>
    <t>Frequency Rating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</si>
</sst>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Aptos Narrow"/>
      <family val="2"/>
      <scheme val="minor"/>
    </font>
    <font>
      <sz val="12"/>
      <color theme="1"/>
      <name val="Aptos Narrow"/>
      <family val="2"/>
      <scheme val="minor"/>
    </font>
    <font>
      <b/>
      <sz val="11"/>
      <color theme="1"/>
      <name val="Aptos Narrow"/>
      <family val="2"/>
      <scheme val="minor"/>
    </font>
    <font>
      <sz val="11"/>
      <name val="Aptos Narrow"/>
      <family val="2"/>
      <scheme val="minor"/>
    </font>
    <font>
      <sz val="11"/>
      <color theme="1"/>
      <name val="Aptos Narrow"/>
      <family val="2"/>
    </font>
    <font>
      <sz val="11"/>
      <color rgb="FF31333F"/>
      <name val="Aptos Narrow"/>
      <family val="2"/>
    </font>
    <font>
      <b/>
      <sz val="11"/>
      <color rgb="FF000000"/>
      <name val="Arial"/>
      <family val="2"/>
    </font>
    <font>
      <sz val="11"/>
      <color theme="1"/>
      <name val="Calibri"/>
      <family val="2"/>
    </font>
    <font>
      <sz val="11"/>
      <color theme="1"/>
      <name val="Arial"/>
      <family val="2"/>
    </font>
    <font>
      <b/>
      <sz val="11"/>
      <color theme="1"/>
      <name val="Aptos Narrow"/>
      <scheme val="minor"/>
    </font>
    <font>
      <sz val="11"/>
      <color theme="1"/>
      <name val="Aptos Narrow"/>
      <scheme val="minor"/>
    </font>
    <font>
      <sz val="11"/>
      <color theme="1"/>
      <name val="Helvetica"/>
      <family val="2"/>
    </font>
    <font>
      <sz val="11"/>
      <color rgb="FF000000"/>
      <name val="Aptos Narrow"/>
      <family val="2"/>
      <scheme val="minor"/>
    </font>
    <font>
      <sz val="10"/>
      <color theme="1"/>
      <name val="Helvetica"/>
      <family val="2"/>
    </font>
    <font>
      <sz val="10"/>
      <color rgb="FF000000"/>
      <name val="Helvetica"/>
      <family val="2"/>
    </font>
    <font>
      <sz val="12"/>
      <color rgb="FF000000"/>
      <name val="Helvetica"/>
      <family val="2"/>
    </font>
    <font>
      <sz val="12"/>
      <color theme="1"/>
      <name val="Helvetica"/>
      <family val="2"/>
    </font>
  </fonts>
  <fills count="10">
    <fill>
      <patternFill patternType="none"/>
    </fill>
    <fill>
      <patternFill patternType="gray125"/>
    </fill>
    <fill>
      <patternFill patternType="solid">
        <fgColor rgb="FFE8E8E8"/>
        <bgColor indexed="64"/>
      </patternFill>
    </fill>
    <fill>
      <patternFill patternType="solid">
        <fgColor rgb="FFFFFF00"/>
        <bgColor indexed="64"/>
      </patternFill>
    </fill>
    <fill>
      <patternFill patternType="solid">
        <fgColor them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E7E6E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3">
    <xf numFmtId="0" fontId="0" fillId="0" borderId="0" xfId="0"/>
    <xf numFmtId="0" fontId="3" fillId="0" borderId="1" xfId="0" applyFont="1" applyBorder="1" applyAlignment="1">
      <alignment horizontal="lef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wrapText="1"/>
    </xf>
    <xf numFmtId="0" fontId="0" fillId="0" borderId="0" xfId="0" applyFont="1" applyAlignment="1">
      <alignment horizontal="center"/>
    </xf>
    <xf numFmtId="0" fontId="0" fillId="0" borderId="0" xfId="0" applyFont="1"/>
    <xf numFmtId="0" fontId="0" fillId="0" borderId="1" xfId="0" applyFont="1" applyBorder="1" applyAlignment="1">
      <alignment horizontal="center" vertical="top"/>
    </xf>
    <xf numFmtId="0" fontId="7" fillId="0" borderId="1" xfId="0" applyFont="1" applyBorder="1" applyAlignment="1">
      <alignment horizontal="left" vertical="top" wrapText="1"/>
    </xf>
    <xf numFmtId="0" fontId="0" fillId="0" borderId="1" xfId="0" applyFont="1" applyBorder="1" applyAlignment="1">
      <alignment horizontal="left" vertical="top" wrapText="1"/>
    </xf>
    <xf numFmtId="0" fontId="0" fillId="0" borderId="1" xfId="0" applyFont="1" applyBorder="1" applyAlignment="1">
      <alignment horizontal="center" vertical="top" wrapText="1"/>
    </xf>
    <xf numFmtId="0" fontId="0" fillId="0" borderId="1" xfId="0" applyFont="1" applyBorder="1" applyAlignment="1">
      <alignment horizontal="left" vertical="top"/>
    </xf>
    <xf numFmtId="2" fontId="0" fillId="0" borderId="1" xfId="0" applyNumberFormat="1" applyFont="1" applyBorder="1" applyAlignment="1">
      <alignment horizontal="center" vertical="top"/>
    </xf>
    <xf numFmtId="0" fontId="0" fillId="0" borderId="1" xfId="0" applyFont="1" applyBorder="1" applyAlignment="1">
      <alignment horizontal="center" vertical="top" wrapText="1"/>
    </xf>
    <xf numFmtId="0" fontId="0" fillId="0" borderId="1" xfId="0" applyFont="1" applyBorder="1" applyAlignment="1">
      <alignment vertical="top" wrapText="1"/>
    </xf>
    <xf numFmtId="164" fontId="0" fillId="0" borderId="1" xfId="0" applyNumberFormat="1" applyFont="1" applyBorder="1" applyAlignment="1">
      <alignment horizontal="center" vertical="top" wrapText="1"/>
    </xf>
    <xf numFmtId="0" fontId="0" fillId="0" borderId="0" xfId="0" applyFont="1" applyAlignment="1">
      <alignment wrapText="1"/>
    </xf>
    <xf numFmtId="0" fontId="8" fillId="0" borderId="1" xfId="0" applyFont="1" applyBorder="1" applyAlignment="1">
      <alignment horizontal="center" vertical="top"/>
    </xf>
    <xf numFmtId="2" fontId="0" fillId="0" borderId="1" xfId="0" applyNumberFormat="1" applyFont="1" applyBorder="1" applyAlignment="1">
      <alignment horizontal="center" vertical="top" wrapText="1"/>
    </xf>
    <xf numFmtId="0" fontId="0" fillId="5" borderId="1" xfId="0" applyFont="1" applyFill="1" applyBorder="1" applyAlignment="1">
      <alignment horizontal="left" vertical="top" wrapText="1"/>
    </xf>
    <xf numFmtId="0" fontId="0" fillId="5" borderId="1" xfId="0" applyFont="1" applyFill="1" applyBorder="1" applyAlignment="1">
      <alignment horizontal="center" vertical="top" wrapText="1"/>
    </xf>
    <xf numFmtId="0" fontId="0" fillId="5" borderId="1" xfId="0" applyFont="1" applyFill="1" applyBorder="1" applyAlignment="1">
      <alignment horizontal="center" vertical="center"/>
    </xf>
    <xf numFmtId="164" fontId="0" fillId="5" borderId="1" xfId="0" applyNumberFormat="1" applyFont="1" applyFill="1" applyBorder="1" applyAlignment="1">
      <alignment horizontal="center" vertical="top" wrapText="1"/>
    </xf>
    <xf numFmtId="0" fontId="0" fillId="5" borderId="1" xfId="0" applyFont="1" applyFill="1" applyBorder="1" applyAlignment="1">
      <alignment horizontal="left" vertical="center" wrapText="1"/>
    </xf>
    <xf numFmtId="164" fontId="0" fillId="5" borderId="1" xfId="0" applyNumberFormat="1" applyFont="1" applyFill="1" applyBorder="1" applyAlignment="1">
      <alignment horizontal="center" vertical="center" wrapText="1"/>
    </xf>
    <xf numFmtId="0" fontId="0" fillId="0" borderId="0" xfId="0" applyFont="1" applyBorder="1" applyAlignment="1">
      <alignment horizontal="left" vertical="top" wrapText="1"/>
    </xf>
    <xf numFmtId="0" fontId="0" fillId="0" borderId="0" xfId="0" applyFont="1" applyBorder="1" applyAlignment="1">
      <alignment horizontal="center" vertical="top" wrapText="1"/>
    </xf>
    <xf numFmtId="0" fontId="9" fillId="5" borderId="1" xfId="0" applyFont="1" applyFill="1" applyBorder="1" applyAlignment="1">
      <alignment horizontal="center" vertical="center"/>
    </xf>
    <xf numFmtId="0" fontId="0" fillId="3" borderId="1" xfId="0" applyFont="1" applyFill="1" applyBorder="1" applyAlignment="1">
      <alignment horizontal="center" vertical="center" wrapText="1"/>
    </xf>
    <xf numFmtId="0" fontId="0" fillId="3" borderId="1" xfId="0" applyFont="1" applyFill="1" applyBorder="1" applyAlignment="1">
      <alignment horizontal="center" vertical="top" wrapText="1"/>
    </xf>
    <xf numFmtId="0" fontId="0" fillId="3" borderId="1" xfId="0" applyFont="1" applyFill="1" applyBorder="1" applyAlignment="1">
      <alignment horizontal="center" vertical="top"/>
    </xf>
    <xf numFmtId="0" fontId="0" fillId="3" borderId="1" xfId="0" applyFont="1" applyFill="1" applyBorder="1" applyAlignment="1">
      <alignment horizontal="center" vertical="center"/>
    </xf>
    <xf numFmtId="0" fontId="9" fillId="0" borderId="0" xfId="0" applyFont="1" applyFill="1" applyBorder="1" applyAlignment="1">
      <alignment horizontal="center" vertical="center"/>
    </xf>
    <xf numFmtId="0" fontId="0" fillId="0" borderId="0" xfId="0" applyFont="1" applyFill="1" applyBorder="1" applyAlignment="1">
      <alignment horizontal="center" vertical="center"/>
    </xf>
    <xf numFmtId="164" fontId="9" fillId="0" borderId="0" xfId="0" applyNumberFormat="1" applyFont="1" applyFill="1" applyBorder="1" applyAlignment="1">
      <alignment horizontal="center" vertical="center"/>
    </xf>
    <xf numFmtId="0" fontId="9" fillId="0" borderId="0" xfId="0" applyFont="1" applyAlignment="1">
      <alignment horizontal="center"/>
    </xf>
    <xf numFmtId="0" fontId="0" fillId="0" borderId="0" xfId="0" applyFont="1" applyFill="1" applyBorder="1" applyAlignment="1">
      <alignment horizontal="left" vertical="center" wrapText="1"/>
    </xf>
    <xf numFmtId="164" fontId="0" fillId="0" borderId="0" xfId="0" applyNumberFormat="1" applyFont="1" applyFill="1" applyBorder="1" applyAlignment="1">
      <alignment horizontal="center" vertical="center" wrapText="1"/>
    </xf>
    <xf numFmtId="1" fontId="0" fillId="0" borderId="0" xfId="0" applyNumberFormat="1" applyFont="1" applyFill="1" applyBorder="1" applyAlignment="1">
      <alignment horizontal="center" vertical="center" wrapText="1"/>
    </xf>
    <xf numFmtId="1" fontId="0" fillId="0" borderId="0" xfId="0" applyNumberFormat="1" applyFont="1" applyBorder="1" applyAlignment="1">
      <alignment horizontal="center" vertical="center" wrapText="1"/>
    </xf>
    <xf numFmtId="0" fontId="9" fillId="0" borderId="0" xfId="0" applyFont="1" applyFill="1" applyBorder="1" applyAlignment="1">
      <alignment horizontal="left" vertical="center" wrapText="1"/>
    </xf>
    <xf numFmtId="1" fontId="9" fillId="0" borderId="0" xfId="0" applyNumberFormat="1" applyFont="1" applyFill="1" applyBorder="1" applyAlignment="1">
      <alignment horizontal="center" vertical="center" wrapText="1"/>
    </xf>
    <xf numFmtId="0" fontId="9" fillId="0" borderId="0" xfId="0" applyFont="1" applyFill="1" applyBorder="1" applyAlignment="1">
      <alignment horizontal="left" vertical="center"/>
    </xf>
    <xf numFmtId="2" fontId="9" fillId="0" borderId="0" xfId="0" applyNumberFormat="1" applyFont="1" applyBorder="1" applyAlignment="1">
      <alignment horizontal="left" vertical="center" wrapText="1"/>
    </xf>
    <xf numFmtId="2" fontId="9" fillId="6" borderId="5" xfId="0" applyNumberFormat="1" applyFont="1" applyFill="1" applyBorder="1" applyAlignment="1">
      <alignment horizontal="left" vertical="center" wrapText="1"/>
    </xf>
    <xf numFmtId="0" fontId="0" fillId="6" borderId="6" xfId="0" applyFont="1" applyFill="1" applyBorder="1" applyAlignment="1">
      <alignment horizontal="left" vertical="top" wrapText="1"/>
    </xf>
    <xf numFmtId="0" fontId="9" fillId="6" borderId="8" xfId="0" applyFont="1" applyFill="1" applyBorder="1" applyAlignment="1">
      <alignment horizontal="center" vertical="center"/>
    </xf>
    <xf numFmtId="0" fontId="0" fillId="6" borderId="9" xfId="0" applyFont="1" applyFill="1" applyBorder="1" applyAlignment="1">
      <alignment horizontal="center" vertical="center"/>
    </xf>
    <xf numFmtId="164" fontId="9" fillId="6" borderId="9" xfId="0" applyNumberFormat="1" applyFont="1" applyFill="1" applyBorder="1" applyAlignment="1">
      <alignment horizontal="center" vertical="center"/>
    </xf>
    <xf numFmtId="164" fontId="9" fillId="6" borderId="10" xfId="0" applyNumberFormat="1" applyFont="1" applyFill="1" applyBorder="1" applyAlignment="1">
      <alignment horizontal="center" vertical="center"/>
    </xf>
    <xf numFmtId="1" fontId="9" fillId="6" borderId="6" xfId="0" applyNumberFormat="1" applyFont="1" applyFill="1" applyBorder="1" applyAlignment="1">
      <alignment horizontal="center" vertical="center" wrapText="1"/>
    </xf>
    <xf numFmtId="0" fontId="9" fillId="6" borderId="7" xfId="0" applyFont="1" applyFill="1" applyBorder="1" applyAlignment="1">
      <alignment horizontal="center" vertical="center" wrapText="1"/>
    </xf>
    <xf numFmtId="0" fontId="0" fillId="0" borderId="0" xfId="0" applyFont="1" applyFill="1" applyBorder="1" applyAlignment="1">
      <alignment horizontal="right" vertical="center" wrapText="1"/>
    </xf>
    <xf numFmtId="0" fontId="10" fillId="0" borderId="0" xfId="0" applyFont="1" applyFill="1"/>
    <xf numFmtId="0" fontId="10" fillId="0" borderId="0" xfId="0" applyFont="1" applyFill="1" applyAlignment="1">
      <alignment horizontal="center"/>
    </xf>
    <xf numFmtId="0" fontId="10" fillId="0" borderId="0" xfId="0" applyFont="1" applyFill="1" applyBorder="1" applyAlignment="1">
      <alignment horizontal="center"/>
    </xf>
    <xf numFmtId="0" fontId="0" fillId="0" borderId="0" xfId="0" applyFont="1" applyBorder="1" applyAlignment="1">
      <alignment horizontal="right" vertical="center" wrapText="1"/>
    </xf>
    <xf numFmtId="0" fontId="0" fillId="0" borderId="0" xfId="0" applyFont="1" applyBorder="1" applyAlignment="1">
      <alignment horizontal="left" vertical="center" wrapText="1"/>
    </xf>
    <xf numFmtId="164" fontId="0" fillId="0" borderId="0" xfId="0" applyNumberFormat="1" applyFont="1" applyAlignment="1">
      <alignment horizontal="center"/>
    </xf>
    <xf numFmtId="164" fontId="0" fillId="3" borderId="0" xfId="0" applyNumberFormat="1" applyFont="1" applyFill="1" applyAlignment="1">
      <alignment horizontal="center"/>
    </xf>
    <xf numFmtId="0" fontId="0" fillId="3" borderId="0" xfId="0" applyFont="1" applyFill="1"/>
    <xf numFmtId="0" fontId="9" fillId="0" borderId="0" xfId="0" applyFont="1"/>
    <xf numFmtId="0" fontId="0" fillId="0" borderId="0" xfId="0" applyBorder="1"/>
    <xf numFmtId="0" fontId="0" fillId="0" borderId="0" xfId="0" applyBorder="1" applyAlignment="1">
      <alignment horizontal="center"/>
    </xf>
    <xf numFmtId="0" fontId="12" fillId="0" borderId="0" xfId="0" applyFont="1" applyBorder="1"/>
    <xf numFmtId="0" fontId="12" fillId="0" borderId="0" xfId="0" applyFont="1" applyBorder="1" applyAlignment="1">
      <alignment horizontal="center"/>
    </xf>
    <xf numFmtId="0" fontId="11" fillId="0" borderId="0" xfId="0" applyFont="1"/>
    <xf numFmtId="0" fontId="11" fillId="0" borderId="1" xfId="0" applyFont="1" applyBorder="1"/>
    <xf numFmtId="0" fontId="11" fillId="0" borderId="1" xfId="0" applyFont="1" applyBorder="1" applyAlignment="1">
      <alignment horizontal="center"/>
    </xf>
    <xf numFmtId="0" fontId="0" fillId="3" borderId="2" xfId="0" applyFont="1" applyFill="1" applyBorder="1" applyAlignment="1">
      <alignment horizontal="center" vertical="top" wrapText="1"/>
    </xf>
    <xf numFmtId="0" fontId="0" fillId="3" borderId="3" xfId="0" applyFont="1" applyFill="1" applyBorder="1" applyAlignment="1">
      <alignment horizontal="center" vertical="top" wrapText="1"/>
    </xf>
    <xf numFmtId="0" fontId="0" fillId="3" borderId="4" xfId="0" applyFont="1" applyFill="1" applyBorder="1" applyAlignment="1">
      <alignment horizontal="center" vertical="top" wrapText="1"/>
    </xf>
    <xf numFmtId="0" fontId="0" fillId="3" borderId="2" xfId="0" applyFont="1" applyFill="1" applyBorder="1" applyAlignment="1">
      <alignment horizontal="center" vertical="center" wrapText="1"/>
    </xf>
    <xf numFmtId="0" fontId="0" fillId="3" borderId="3"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0" fillId="0" borderId="1" xfId="0" applyFont="1" applyBorder="1" applyAlignment="1">
      <alignment horizontal="center" vertical="top" wrapText="1"/>
    </xf>
    <xf numFmtId="0" fontId="0" fillId="3" borderId="2" xfId="0" applyFont="1" applyFill="1" applyBorder="1" applyAlignment="1">
      <alignment horizontal="center" vertical="center"/>
    </xf>
    <xf numFmtId="0" fontId="0" fillId="3" borderId="3" xfId="0" applyFont="1" applyFill="1" applyBorder="1" applyAlignment="1">
      <alignment horizontal="center" vertical="center"/>
    </xf>
    <xf numFmtId="0" fontId="0" fillId="3" borderId="4" xfId="0" applyFont="1" applyFill="1" applyBorder="1" applyAlignment="1">
      <alignment horizontal="center" vertical="center"/>
    </xf>
    <xf numFmtId="0" fontId="6" fillId="2"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16" fillId="9"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3" fillId="0" borderId="1" xfId="0" applyFont="1" applyBorder="1" applyAlignment="1">
      <alignment horizontal="center" vertical="center" wrapText="1"/>
    </xf>
    <xf numFmtId="164" fontId="13" fillId="0" borderId="1" xfId="0" applyNumberFormat="1" applyFont="1" applyBorder="1" applyAlignment="1">
      <alignment horizontal="center" vertical="center" wrapText="1"/>
    </xf>
    <xf numFmtId="164" fontId="14" fillId="8" borderId="1" xfId="0" applyNumberFormat="1" applyFont="1" applyFill="1" applyBorder="1" applyAlignment="1">
      <alignment horizontal="center" vertical="center" wrapText="1"/>
    </xf>
    <xf numFmtId="2" fontId="13" fillId="0" borderId="1" xfId="0" applyNumberFormat="1" applyFont="1" applyBorder="1" applyAlignment="1">
      <alignment horizontal="center" vertical="center" wrapText="1"/>
    </xf>
    <xf numFmtId="0" fontId="1" fillId="7" borderId="1" xfId="0" applyFont="1" applyFill="1" applyBorder="1" applyAlignment="1">
      <alignment horizontal="center" vertical="center"/>
    </xf>
    <xf numFmtId="0" fontId="16" fillId="7" borderId="1" xfId="0" applyFont="1" applyFill="1" applyBorder="1" applyAlignment="1">
      <alignment horizontal="center" vertical="center"/>
    </xf>
    <xf numFmtId="0" fontId="13" fillId="0" borderId="1" xfId="0" applyFont="1" applyBorder="1" applyAlignment="1">
      <alignment horizontal="center"/>
    </xf>
    <xf numFmtId="2" fontId="13" fillId="0" borderId="1" xfId="0" applyNumberFormat="1" applyFont="1" applyBorder="1" applyAlignment="1">
      <alignment horizontal="center"/>
    </xf>
    <xf numFmtId="0" fontId="13" fillId="4" borderId="1" xfId="0" applyFont="1" applyFill="1" applyBorder="1"/>
    <xf numFmtId="164" fontId="9" fillId="3" borderId="0" xfId="0" applyNumberFormat="1" applyFont="1" applyFill="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baseline="0">
                <a:solidFill>
                  <a:schemeClr val="tx1"/>
                </a:solidFill>
                <a:latin typeface="Helvetica" pitchFamily="2" charset="0"/>
              </a:rPr>
              <a:t>Summary Ratings</a:t>
            </a:r>
          </a:p>
          <a:p>
            <a:pPr>
              <a:defRPr/>
            </a:pPr>
            <a:endParaRPr lang="de-DE" sz="1600" baseline="0">
              <a:solidFill>
                <a:schemeClr val="tx1"/>
              </a:solidFill>
              <a:latin typeface="Helvetica" pitchFamily="2" charset="0"/>
            </a:endParaRPr>
          </a:p>
        </c:rich>
      </c:tx>
      <c:layout>
        <c:manualLayout>
          <c:xMode val="edge"/>
          <c:yMode val="edge"/>
          <c:x val="0.37959086899220995"/>
          <c:y val="5.7965613691805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Summary_Questionary!$F$114</c:f>
              <c:strCache>
                <c:ptCount val="1"/>
                <c:pt idx="0">
                  <c:v>Accuracy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Summary_Questionary!$E$115:$E$119</c:f>
              <c:strCache>
                <c:ptCount val="5"/>
                <c:pt idx="0">
                  <c:v>(5/5)</c:v>
                </c:pt>
                <c:pt idx="1">
                  <c:v>(4/5)</c:v>
                </c:pt>
                <c:pt idx="2">
                  <c:v>(3/5)</c:v>
                </c:pt>
                <c:pt idx="3">
                  <c:v>(2/5)</c:v>
                </c:pt>
                <c:pt idx="4">
                  <c:v>(1/5)</c:v>
                </c:pt>
              </c:strCache>
            </c:strRef>
          </c:cat>
          <c:val>
            <c:numRef>
              <c:f>Summary_Questionary!$F$115:$F$119</c:f>
              <c:numCache>
                <c:formatCode>0</c:formatCode>
                <c:ptCount val="5"/>
                <c:pt idx="0">
                  <c:v>32</c:v>
                </c:pt>
                <c:pt idx="1">
                  <c:v>29</c:v>
                </c:pt>
                <c:pt idx="2">
                  <c:v>11</c:v>
                </c:pt>
                <c:pt idx="3">
                  <c:v>11</c:v>
                </c:pt>
                <c:pt idx="4">
                  <c:v>2</c:v>
                </c:pt>
              </c:numCache>
            </c:numRef>
          </c:val>
          <c:extLst>
            <c:ext xmlns:c16="http://schemas.microsoft.com/office/drawing/2014/chart" uri="{C3380CC4-5D6E-409C-BE32-E72D297353CC}">
              <c16:uniqueId val="{00000000-D6A2-904E-A913-56C487BFBEE4}"/>
            </c:ext>
          </c:extLst>
        </c:ser>
        <c:ser>
          <c:idx val="1"/>
          <c:order val="1"/>
          <c:tx>
            <c:strRef>
              <c:f>Summary_Questionary!$G$114</c:f>
              <c:strCache>
                <c:ptCount val="1"/>
                <c:pt idx="0">
                  <c:v>Satisfaction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Summary_Questionary!$E$115:$E$119</c:f>
              <c:strCache>
                <c:ptCount val="5"/>
                <c:pt idx="0">
                  <c:v>(5/5)</c:v>
                </c:pt>
                <c:pt idx="1">
                  <c:v>(4/5)</c:v>
                </c:pt>
                <c:pt idx="2">
                  <c:v>(3/5)</c:v>
                </c:pt>
                <c:pt idx="3">
                  <c:v>(2/5)</c:v>
                </c:pt>
                <c:pt idx="4">
                  <c:v>(1/5)</c:v>
                </c:pt>
              </c:strCache>
            </c:strRef>
          </c:cat>
          <c:val>
            <c:numRef>
              <c:f>Summary_Questionary!$G$115:$G$119</c:f>
              <c:numCache>
                <c:formatCode>0</c:formatCode>
                <c:ptCount val="5"/>
                <c:pt idx="0">
                  <c:v>26</c:v>
                </c:pt>
                <c:pt idx="1">
                  <c:v>32</c:v>
                </c:pt>
                <c:pt idx="2">
                  <c:v>16</c:v>
                </c:pt>
                <c:pt idx="3">
                  <c:v>10</c:v>
                </c:pt>
                <c:pt idx="4">
                  <c:v>3</c:v>
                </c:pt>
              </c:numCache>
            </c:numRef>
          </c:val>
          <c:extLst>
            <c:ext xmlns:c16="http://schemas.microsoft.com/office/drawing/2014/chart" uri="{C3380CC4-5D6E-409C-BE32-E72D297353CC}">
              <c16:uniqueId val="{00000001-D6A2-904E-A913-56C487BFBEE4}"/>
            </c:ext>
          </c:extLst>
        </c:ser>
        <c:dLbls>
          <c:dLblPos val="outEnd"/>
          <c:showLegendKey val="0"/>
          <c:showVal val="1"/>
          <c:showCatName val="0"/>
          <c:showSerName val="0"/>
          <c:showPercent val="0"/>
          <c:showBubbleSize val="0"/>
        </c:dLbls>
        <c:gapWidth val="219"/>
        <c:overlap val="-27"/>
        <c:axId val="35755455"/>
        <c:axId val="35744943"/>
      </c:barChart>
      <c:catAx>
        <c:axId val="3575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Rating</a:t>
                </a:r>
              </a:p>
            </c:rich>
          </c:tx>
          <c:layout>
            <c:manualLayout>
              <c:xMode val="edge"/>
              <c:yMode val="edge"/>
              <c:x val="0.49410312220316432"/>
              <c:y val="0.84032956901398315"/>
            </c:manualLayout>
          </c:layout>
          <c:overlay val="0"/>
          <c:spPr>
            <a:solidFill>
              <a:schemeClr val="bg1"/>
            </a:solidFill>
            <a:ln>
              <a:solidFill>
                <a:schemeClr val="bg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crossAx val="35744943"/>
        <c:crosses val="autoZero"/>
        <c:auto val="1"/>
        <c:lblAlgn val="ctr"/>
        <c:lblOffset val="100"/>
        <c:noMultiLvlLbl val="0"/>
      </c:catAx>
      <c:valAx>
        <c:axId val="3574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Counts</a:t>
                </a:r>
              </a:p>
            </c:rich>
          </c:tx>
          <c:layout>
            <c:manualLayout>
              <c:xMode val="edge"/>
              <c:yMode val="edge"/>
              <c:x val="9.0532570920811763E-3"/>
              <c:y val="0.32252239287637779"/>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crossAx val="35755455"/>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400" b="0" i="0" u="none" strike="noStrike" kern="1200" baseline="0">
                <a:solidFill>
                  <a:schemeClr val="tx1"/>
                </a:solidFill>
                <a:latin typeface="Helvetica" pitchFamily="2" charset="0"/>
                <a:ea typeface="+mn-ea"/>
                <a:cs typeface="+mn-cs"/>
              </a:defRPr>
            </a:pPr>
            <a:endParaRPr lang="de-DE"/>
          </a:p>
        </c:txPr>
      </c:legendEntry>
      <c:legendEntry>
        <c:idx val="1"/>
        <c:txPr>
          <a:bodyPr rot="0" spcFirstLastPara="1" vertOverflow="ellipsis" vert="horz" wrap="square" anchor="ctr" anchorCtr="1"/>
          <a:lstStyle/>
          <a:p>
            <a:pPr>
              <a:defRPr sz="1400" b="0" i="0" u="none" strike="noStrike" kern="1200" baseline="0">
                <a:solidFill>
                  <a:schemeClr val="tx1"/>
                </a:solidFill>
                <a:latin typeface="Helvetica" pitchFamily="2" charset="0"/>
                <a:ea typeface="+mn-ea"/>
                <a:cs typeface="+mn-cs"/>
              </a:defRPr>
            </a:pPr>
            <a:endParaRPr lang="de-DE"/>
          </a:p>
        </c:txPr>
      </c:legendEntry>
      <c:layout>
        <c:manualLayout>
          <c:xMode val="edge"/>
          <c:yMode val="edge"/>
          <c:x val="0.35567099493125259"/>
          <c:y val="0.92044964562846909"/>
          <c:w val="0.34111649489102724"/>
          <c:h val="7.6526470124928817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a:solidFill>
                  <a:schemeClr val="tx1"/>
                </a:solidFill>
                <a:latin typeface="Helvetica" pitchFamily="2" charset="0"/>
              </a:rPr>
              <a:t>Threading</a:t>
            </a:r>
            <a:r>
              <a:rPr lang="de-DE" sz="1600" baseline="0">
                <a:solidFill>
                  <a:schemeClr val="tx1"/>
                </a:solidFill>
                <a:latin typeface="Helvetica" pitchFamily="2" charset="0"/>
              </a:rPr>
              <a:t> QDocs Optimization</a:t>
            </a:r>
            <a:endParaRPr lang="de-DE" sz="1600">
              <a:solidFill>
                <a:schemeClr val="tx1"/>
              </a:solidFill>
              <a:latin typeface="Helvetica" pitchFamily="2" charset="0"/>
            </a:endParaRPr>
          </a:p>
        </c:rich>
      </c:tx>
      <c:layout>
        <c:manualLayout>
          <c:xMode val="edge"/>
          <c:yMode val="edge"/>
          <c:x val="0.35381456092843711"/>
          <c:y val="3.273284631986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'11.3 Improvements DP &amp; MC'!$B$9</c:f>
              <c:strCache>
                <c:ptCount val="1"/>
                <c:pt idx="0">
                  <c:v>Threads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'11.3 Improvements DP &amp; MC'!$C$9:$G$9</c:f>
              <c:numCache>
                <c:formatCode>General</c:formatCode>
                <c:ptCount val="5"/>
                <c:pt idx="0">
                  <c:v>20</c:v>
                </c:pt>
                <c:pt idx="1">
                  <c:v>40</c:v>
                </c:pt>
                <c:pt idx="2">
                  <c:v>50</c:v>
                </c:pt>
                <c:pt idx="3">
                  <c:v>60</c:v>
                </c:pt>
                <c:pt idx="4">
                  <c:v>70</c:v>
                </c:pt>
              </c:numCache>
            </c:numRef>
          </c:val>
          <c:extLst>
            <c:ext xmlns:c16="http://schemas.microsoft.com/office/drawing/2014/chart" uri="{C3380CC4-5D6E-409C-BE32-E72D297353CC}">
              <c16:uniqueId val="{00000000-5CCA-0C4F-811B-8B9ABD3CB4C7}"/>
            </c:ext>
          </c:extLst>
        </c:ser>
        <c:ser>
          <c:idx val="1"/>
          <c:order val="1"/>
          <c:tx>
            <c:strRef>
              <c:f>'11.3 Improvements DP &amp; MC'!$B$10</c:f>
              <c:strCache>
                <c:ptCount val="1"/>
                <c:pt idx="0">
                  <c:v>Extraction Time [min]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'11.3 Improvements DP &amp; MC'!$C$10:$G$10</c:f>
              <c:numCache>
                <c:formatCode>General</c:formatCode>
                <c:ptCount val="5"/>
                <c:pt idx="0">
                  <c:v>27</c:v>
                </c:pt>
                <c:pt idx="1">
                  <c:v>5</c:v>
                </c:pt>
                <c:pt idx="2">
                  <c:v>3</c:v>
                </c:pt>
                <c:pt idx="3">
                  <c:v>4</c:v>
                </c:pt>
                <c:pt idx="4">
                  <c:v>5</c:v>
                </c:pt>
              </c:numCache>
            </c:numRef>
          </c:val>
          <c:extLst>
            <c:ext xmlns:c16="http://schemas.microsoft.com/office/drawing/2014/chart" uri="{C3380CC4-5D6E-409C-BE32-E72D297353CC}">
              <c16:uniqueId val="{00000001-5CCA-0C4F-811B-8B9ABD3CB4C7}"/>
            </c:ext>
          </c:extLst>
        </c:ser>
        <c:ser>
          <c:idx val="2"/>
          <c:order val="2"/>
          <c:tx>
            <c:strRef>
              <c:f>'11.3 Improvements DP &amp; MC'!$B$11</c:f>
              <c:strCache>
                <c:ptCount val="1"/>
                <c:pt idx="0">
                  <c:v>Progress [%]</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Helvetica" pitchFamily="2" charset="0"/>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'11.3 Improvements DP &amp; MC'!$C$11:$G$11</c:f>
              <c:numCache>
                <c:formatCode>0.00</c:formatCode>
                <c:ptCount val="5"/>
                <c:pt idx="0">
                  <c:v>-98.934070272404256</c:v>
                </c:pt>
                <c:pt idx="1">
                  <c:v>-81.481481481481495</c:v>
                </c:pt>
                <c:pt idx="2">
                  <c:v>-40</c:v>
                </c:pt>
                <c:pt idx="3">
                  <c:v>33.333333333333329</c:v>
                </c:pt>
                <c:pt idx="4">
                  <c:v>25</c:v>
                </c:pt>
              </c:numCache>
            </c:numRef>
          </c:val>
          <c:extLst>
            <c:ext xmlns:c16="http://schemas.microsoft.com/office/drawing/2014/chart" uri="{C3380CC4-5D6E-409C-BE32-E72D297353CC}">
              <c16:uniqueId val="{00000002-5CCA-0C4F-811B-8B9ABD3CB4C7}"/>
            </c:ext>
          </c:extLst>
        </c:ser>
        <c:dLbls>
          <c:showLegendKey val="0"/>
          <c:showVal val="0"/>
          <c:showCatName val="0"/>
          <c:showSerName val="0"/>
          <c:showPercent val="0"/>
          <c:showBubbleSize val="0"/>
        </c:dLbls>
        <c:gapWidth val="219"/>
        <c:overlap val="-27"/>
        <c:axId val="1478122880"/>
        <c:axId val="1478124560"/>
      </c:barChart>
      <c:catAx>
        <c:axId val="1478122880"/>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de-DE" sz="1200" baseline="0">
                    <a:solidFill>
                      <a:schemeClr val="tx1"/>
                    </a:solidFill>
                    <a:latin typeface="Helvetica" pitchFamily="2" charset="0"/>
                  </a:rPr>
                  <a:t>Trial</a:t>
                </a:r>
              </a:p>
            </c:rich>
          </c:tx>
          <c:layout>
            <c:manualLayout>
              <c:xMode val="edge"/>
              <c:yMode val="edge"/>
              <c:x val="0.4772426646494326"/>
              <c:y val="0.8583068375252530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1478124560"/>
        <c:crosses val="autoZero"/>
        <c:auto val="1"/>
        <c:lblAlgn val="ctr"/>
        <c:lblOffset val="100"/>
        <c:noMultiLvlLbl val="0"/>
      </c:catAx>
      <c:valAx>
        <c:axId val="1478124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7812288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egendEntry>
        <c:idx val="1"/>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egendEntry>
        <c:idx val="2"/>
        <c:txPr>
          <a:bodyPr rot="0" spcFirstLastPara="1" vertOverflow="ellipsis" vert="horz" wrap="square" anchor="ctr" anchorCtr="1"/>
          <a:lstStyle/>
          <a:p>
            <a:pPr>
              <a:defRPr sz="1200" b="0" i="0" u="none" strike="noStrike" kern="1200" baseline="0">
                <a:solidFill>
                  <a:schemeClr val="tx1"/>
                </a:solidFill>
                <a:latin typeface="Helvetica" pitchFamily="2" charset="0"/>
                <a:ea typeface="+mn-ea"/>
                <a:cs typeface="+mn-cs"/>
              </a:defRPr>
            </a:pPr>
            <a:endParaRPr lang="de-DE"/>
          </a:p>
        </c:txPr>
      </c:legendEntry>
      <c:layout>
        <c:manualLayout>
          <c:xMode val="edge"/>
          <c:yMode val="edge"/>
          <c:x val="0.23072821761218518"/>
          <c:y val="0.90561771434706062"/>
          <c:w val="0.51806225427324049"/>
          <c:h val="9.01034902013784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aseline="0">
                <a:solidFill>
                  <a:schemeClr val="tx1"/>
                </a:solidFill>
                <a:latin typeface="Helvetica" pitchFamily="2" charset="0"/>
              </a:rPr>
              <a:t>Performance LLM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'11.4.1.2 Comparison LLM Models'!$B$4</c:f>
              <c:strCache>
                <c:ptCount val="1"/>
                <c:pt idx="0">
                  <c:v>Identified Main Steps [%]</c:v>
                </c:pt>
              </c:strCache>
            </c:strRef>
          </c:tx>
          <c:spPr>
            <a:solidFill>
              <a:schemeClr val="accent1"/>
            </a:solidFill>
            <a:ln>
              <a:noFill/>
            </a:ln>
            <a:effectLst/>
          </c:spPr>
          <c:invertIfNegative val="0"/>
          <c:cat>
            <c:strRef>
              <c:f>'11.4.1.2 Comparison LLM Models'!$C$3:$G$3</c:f>
              <c:strCache>
                <c:ptCount val="5"/>
                <c:pt idx="0">
                  <c:v>GPT-4</c:v>
                </c:pt>
                <c:pt idx="1">
                  <c:v>GPT-5</c:v>
                </c:pt>
                <c:pt idx="2">
                  <c:v>Gemini 2.5 Pro</c:v>
                </c:pt>
                <c:pt idx="3">
                  <c:v>Gemini 3 Pro</c:v>
                </c:pt>
                <c:pt idx="4">
                  <c:v>Claude 4.5</c:v>
                </c:pt>
              </c:strCache>
            </c:strRef>
          </c:cat>
          <c:val>
            <c:numRef>
              <c:f>'11.4.1.2 Comparison LLM Models'!$C$4:$G$4</c:f>
              <c:numCache>
                <c:formatCode>0.0</c:formatCode>
                <c:ptCount val="5"/>
                <c:pt idx="0">
                  <c:v>41.666666666666671</c:v>
                </c:pt>
                <c:pt idx="1">
                  <c:v>91.666666666666657</c:v>
                </c:pt>
                <c:pt idx="2">
                  <c:v>69.166666666666671</c:v>
                </c:pt>
                <c:pt idx="3">
                  <c:v>91.666666666666657</c:v>
                </c:pt>
                <c:pt idx="4">
                  <c:v>89.166666666666657</c:v>
                </c:pt>
              </c:numCache>
            </c:numRef>
          </c:val>
          <c:extLst>
            <c:ext xmlns:c16="http://schemas.microsoft.com/office/drawing/2014/chart" uri="{C3380CC4-5D6E-409C-BE32-E72D297353CC}">
              <c16:uniqueId val="{00000000-775F-5144-91A2-02A3A16EFCF4}"/>
            </c:ext>
          </c:extLst>
        </c:ser>
        <c:ser>
          <c:idx val="1"/>
          <c:order val="1"/>
          <c:tx>
            <c:strRef>
              <c:f>'11.4.1.2 Comparison LLM Models'!$B$5</c:f>
              <c:strCache>
                <c:ptCount val="1"/>
                <c:pt idx="0">
                  <c:v>Identified Subcategories [%]</c:v>
                </c:pt>
              </c:strCache>
            </c:strRef>
          </c:tx>
          <c:spPr>
            <a:solidFill>
              <a:schemeClr val="accent2"/>
            </a:solidFill>
            <a:ln>
              <a:noFill/>
            </a:ln>
            <a:effectLst/>
          </c:spPr>
          <c:invertIfNegative val="0"/>
          <c:cat>
            <c:strRef>
              <c:f>'11.4.1.2 Comparison LLM Models'!$C$3:$G$3</c:f>
              <c:strCache>
                <c:ptCount val="5"/>
                <c:pt idx="0">
                  <c:v>GPT-4</c:v>
                </c:pt>
                <c:pt idx="1">
                  <c:v>GPT-5</c:v>
                </c:pt>
                <c:pt idx="2">
                  <c:v>Gemini 2.5 Pro</c:v>
                </c:pt>
                <c:pt idx="3">
                  <c:v>Gemini 3 Pro</c:v>
                </c:pt>
                <c:pt idx="4">
                  <c:v>Claude 4.5</c:v>
                </c:pt>
              </c:strCache>
            </c:strRef>
          </c:cat>
          <c:val>
            <c:numRef>
              <c:f>'11.4.1.2 Comparison LLM Models'!$C$5:$G$5</c:f>
              <c:numCache>
                <c:formatCode>0.0</c:formatCode>
                <c:ptCount val="5"/>
                <c:pt idx="0" formatCode="General">
                  <c:v>30.000000000000004</c:v>
                </c:pt>
                <c:pt idx="1">
                  <c:v>92.222222222222229</c:v>
                </c:pt>
                <c:pt idx="2">
                  <c:v>96.666666666666657</c:v>
                </c:pt>
                <c:pt idx="3">
                  <c:v>96.666666666666657</c:v>
                </c:pt>
                <c:pt idx="4" formatCode="0.00">
                  <c:v>81.111111111111114</c:v>
                </c:pt>
              </c:numCache>
            </c:numRef>
          </c:val>
          <c:extLst>
            <c:ext xmlns:c16="http://schemas.microsoft.com/office/drawing/2014/chart" uri="{C3380CC4-5D6E-409C-BE32-E72D297353CC}">
              <c16:uniqueId val="{00000001-775F-5144-91A2-02A3A16EFCF4}"/>
            </c:ext>
          </c:extLst>
        </c:ser>
        <c:dLbls>
          <c:showLegendKey val="0"/>
          <c:showVal val="0"/>
          <c:showCatName val="0"/>
          <c:showSerName val="0"/>
          <c:showPercent val="0"/>
          <c:showBubbleSize val="0"/>
        </c:dLbls>
        <c:gapWidth val="219"/>
        <c:overlap val="-27"/>
        <c:axId val="773143055"/>
        <c:axId val="773127055"/>
      </c:barChart>
      <c:catAx>
        <c:axId val="7731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crossAx val="773127055"/>
        <c:crosses val="autoZero"/>
        <c:auto val="1"/>
        <c:lblAlgn val="ctr"/>
        <c:lblOffset val="100"/>
        <c:noMultiLvlLbl val="0"/>
      </c:catAx>
      <c:valAx>
        <c:axId val="773127055"/>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crossAx val="773143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Helvetica" pitchFamily="2" charset="0"/>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de-DE" sz="1600" b="0" i="0" u="none" strike="noStrike" baseline="0">
                <a:solidFill>
                  <a:schemeClr val="tx1"/>
                </a:solidFill>
                <a:latin typeface="Helvetica" pitchFamily="2" charset="0"/>
              </a:rPr>
              <a:t>Distribution Category Averages</a:t>
            </a:r>
          </a:p>
          <a:p>
            <a:pPr algn="ctr" rtl="0">
              <a:defRPr/>
            </a:pPr>
            <a:endParaRPr lang="de-DE" sz="1600" b="0" i="0" u="none" strike="noStrike" baseline="0">
              <a:solidFill>
                <a:schemeClr val="tx1"/>
              </a:solidFill>
              <a:latin typeface="Helvetica" pitchFamily="2" charset="0"/>
            </a:endParaRPr>
          </a:p>
        </cx:rich>
      </cx:tx>
    </cx:title>
    <cx:plotArea>
      <cx:plotAreaRegion>
        <cx:plotSurface>
          <cx:spPr>
            <a:ln>
              <a:noFill/>
            </a:ln>
            <a:effectLst>
              <a:outerShdw blurRad="50800" dist="50800" dir="5400000" algn="ctr" rotWithShape="0">
                <a:srgbClr val="000000">
                  <a:alpha val="28000"/>
                </a:srgbClr>
              </a:outerShdw>
            </a:effectLst>
          </cx:spPr>
        </cx:plotSurface>
        <cx:series layoutId="boxWhisker" uniqueId="{D37D73D4-AFE5-9B49-8D70-D9D766B09E14}">
          <cx:tx>
            <cx:txData>
              <cx:f>_xlchart.v1.0</cx:f>
              <cx:v>Accuracy</cx:v>
            </cx:txData>
          </cx:tx>
          <cx:dataLabels pos="l">
            <cx:txPr>
              <a:bodyPr spcFirstLastPara="1" vertOverflow="ellipsis" horzOverflow="overflow" wrap="square" lIns="0" tIns="0" rIns="0" bIns="0" anchor="ctr" anchorCtr="1"/>
              <a:lstStyle/>
              <a:p>
                <a:pPr algn="ctr" rtl="0">
                  <a:defRPr sz="900" baseline="0">
                    <a:solidFill>
                      <a:schemeClr val="tx1"/>
                    </a:solidFill>
                    <a:latin typeface="Helvetica" pitchFamily="2" charset="0"/>
                  </a:defRPr>
                </a:pPr>
                <a:endParaRPr lang="de-DE" sz="900" b="0" i="0" u="none" strike="noStrike" baseline="0">
                  <a:solidFill>
                    <a:schemeClr val="tx1"/>
                  </a:solidFill>
                  <a:latin typeface="Helvetica" pitchFamily="2" charset="0"/>
                </a:endParaRPr>
              </a:p>
            </cx:txPr>
            <cx:visibility seriesName="0" categoryName="0" value="1"/>
            <cx:separator>, </cx:separator>
            <cx:dataLabel idx="9">
              <cx:txPr>
                <a:bodyPr spcFirstLastPara="1" vertOverflow="ellipsis" horzOverflow="overflow" wrap="square" lIns="0" tIns="0" rIns="0" bIns="0" anchor="ctr" anchorCtr="1"/>
                <a:lstStyle/>
                <a:p>
                  <a:pPr algn="ctr" rtl="0">
                    <a:defRPr baseline="0">
                      <a:solidFill>
                        <a:schemeClr val="tx1"/>
                      </a:solidFill>
                      <a:latin typeface="Helvetica" pitchFamily="2" charset="0"/>
                    </a:defRPr>
                  </a:pPr>
                  <a:r>
                    <a:rPr lang="de-DE" sz="900" b="0" i="0" u="none" strike="noStrike" baseline="0">
                      <a:solidFill>
                        <a:schemeClr val="tx1"/>
                      </a:solidFill>
                      <a:latin typeface="Helvetica" pitchFamily="2" charset="0"/>
                    </a:rPr>
                    <a:t>4.8</a:t>
                  </a:r>
                </a:p>
              </cx:txPr>
            </cx:dataLabel>
            <cx:dataLabelHidden idx="10"/>
            <cx:dataLabelHidden idx="11"/>
            <cx:dataLabelHidden idx="12"/>
            <cx:dataLabelHidden idx="13"/>
          </cx:dataLabels>
          <cx:dataId val="0"/>
          <cx:layoutPr>
            <cx:visibility meanLine="1" meanMarker="1" nonoutliers="0" outliers="1"/>
            <cx:statistics quartileMethod="exclusive"/>
          </cx:layoutPr>
        </cx:series>
        <cx:series layoutId="boxWhisker" uniqueId="{222F820B-4E09-D64E-ABB8-CADB5BC97A1A}">
          <cx:tx>
            <cx:txData>
              <cx:f>_xlchart.v1.2</cx:f>
              <cx:v>Satsifaction</cx:v>
            </cx:txData>
          </cx:tx>
          <cx:spPr>
            <a:effectLst>
              <a:outerShdw blurRad="50800" dist="50800" dir="5400000" sx="1000" sy="1000" algn="ctr" rotWithShape="0">
                <a:srgbClr val="000000">
                  <a:alpha val="43137"/>
                </a:srgbClr>
              </a:outerShdw>
            </a:effectLst>
          </cx:spPr>
          <cx:dataLabels pos="l">
            <cx:txPr>
              <a:bodyPr spcFirstLastPara="1" vertOverflow="ellipsis" horzOverflow="overflow" wrap="square" lIns="0" tIns="0" rIns="0" bIns="0" anchor="ctr" anchorCtr="1"/>
              <a:lstStyle/>
              <a:p>
                <a:pPr algn="ctr" rtl="0">
                  <a:defRPr baseline="0">
                    <a:solidFill>
                      <a:schemeClr val="tx1"/>
                    </a:solidFill>
                    <a:latin typeface="Helvetica" pitchFamily="2" charset="0"/>
                  </a:defRPr>
                </a:pPr>
                <a:endParaRPr lang="de-DE" sz="900" b="0" i="0" u="none" strike="noStrike" baseline="0">
                  <a:solidFill>
                    <a:schemeClr val="tx1"/>
                  </a:solidFill>
                  <a:latin typeface="Helvetica" pitchFamily="2" charset="0"/>
                </a:endParaRPr>
              </a:p>
            </cx:txPr>
            <cx:visibility seriesName="0" categoryName="0" value="1"/>
            <cx:separator>, </cx:separator>
            <cx:dataLabelHidden idx="10"/>
            <cx:dataLabelHidden idx="11"/>
            <cx:dataLabelHidden idx="12"/>
            <cx:dataLabelHidden idx="13"/>
          </cx:dataLabels>
          <cx:dataId val="1"/>
          <cx:layoutPr>
            <cx:visibility meanLine="1" meanMarker="1" nonoutliers="0" outliers="1"/>
            <cx:statistics quartileMethod="exclusive"/>
          </cx:layoutPr>
        </cx:series>
      </cx:plotAreaRegion>
      <cx:axis id="0" hidden="1">
        <cx:catScaling gapWidth="1"/>
        <cx:tickLabels/>
      </cx:axis>
      <cx:axis id="1">
        <cx:valScaling max="5" min="1"/>
        <cx:title>
          <cx:tx>
            <cx:txData>
              <cx:v>Rating Range</cx:v>
            </cx:txData>
          </cx:tx>
          <cx:txPr>
            <a:bodyPr spcFirstLastPara="1" vertOverflow="ellipsis" horzOverflow="overflow" wrap="square" lIns="0" tIns="0" rIns="0" bIns="0" anchor="ctr" anchorCtr="1"/>
            <a:lstStyle/>
            <a:p>
              <a:pPr algn="ctr" rtl="0">
                <a:defRPr sz="1200" baseline="0">
                  <a:solidFill>
                    <a:schemeClr val="tx1"/>
                  </a:solidFill>
                  <a:latin typeface="Helvetica" pitchFamily="2" charset="0"/>
                </a:defRPr>
              </a:pPr>
              <a:r>
                <a:rPr lang="de-DE" sz="1200" b="0" i="0" u="none" strike="noStrike" baseline="0">
                  <a:solidFill>
                    <a:schemeClr val="tx1"/>
                  </a:solidFill>
                  <a:latin typeface="Helvetica" pitchFamily="2" charset="0"/>
                </a:rPr>
                <a:t>Rating Range</a:t>
              </a:r>
            </a:p>
          </cx:txPr>
        </cx:title>
        <cx:majorGridlines>
          <cx:spPr>
            <a:ln>
              <a:solidFill>
                <a:schemeClr val="bg1">
                  <a:lumMod val="85000"/>
                </a:schemeClr>
              </a:solidFill>
            </a:ln>
          </cx:spPr>
        </cx:majorGridlines>
        <cx:tickLabels/>
        <cx:txPr>
          <a:bodyPr spcFirstLastPara="1" vertOverflow="ellipsis" horzOverflow="overflow" wrap="square" lIns="0" tIns="0" rIns="0" bIns="0" anchor="ctr" anchorCtr="1"/>
          <a:lstStyle/>
          <a:p>
            <a:pPr algn="ctr" rtl="0">
              <a:defRPr sz="1200" baseline="0">
                <a:solidFill>
                  <a:schemeClr val="tx1"/>
                </a:solidFill>
                <a:latin typeface="Helvetica" pitchFamily="2" charset="0"/>
              </a:defRPr>
            </a:pPr>
            <a:endParaRPr lang="de-DE" sz="1200" b="0" i="0" u="none" strike="noStrike" baseline="0">
              <a:solidFill>
                <a:schemeClr val="tx1"/>
              </a:solidFill>
              <a:latin typeface="Helvetica" pitchFamily="2" charset="0"/>
            </a:endParaRPr>
          </a:p>
        </cx:txPr>
      </cx:axis>
    </cx:plotArea>
    <cx:legend pos="b" align="ctr" overlay="0">
      <cx:txPr>
        <a:bodyPr spcFirstLastPara="1" vertOverflow="ellipsis" horzOverflow="overflow" wrap="square" lIns="0" tIns="0" rIns="0" bIns="0" anchor="ctr" anchorCtr="1"/>
        <a:lstStyle/>
        <a:p>
          <a:pPr algn="ctr" rtl="0">
            <a:defRPr sz="1400" baseline="0"/>
          </a:pPr>
          <a:endParaRPr lang="de-DE" sz="1400" b="0" i="0" u="none" strike="noStrike" baseline="0">
            <a:solidFill>
              <a:schemeClr val="tx1"/>
            </a:solidFill>
            <a:latin typeface="Helvetica" pitchFamily="2"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1155701</xdr:colOff>
      <xdr:row>122</xdr:row>
      <xdr:rowOff>2145</xdr:rowOff>
    </xdr:from>
    <xdr:to>
      <xdr:col>3</xdr:col>
      <xdr:colOff>6235700</xdr:colOff>
      <xdr:row>142</xdr:row>
      <xdr:rowOff>83664</xdr:rowOff>
    </xdr:to>
    <mc:AlternateContent xmlns:mc="http://schemas.openxmlformats.org/markup-compatibility/2006">
      <mc:Choice xmlns:cx1="http://schemas.microsoft.com/office/drawing/2015/9/8/chartex" Requires="cx1">
        <xdr:graphicFrame macro="">
          <xdr:nvGraphicFramePr>
            <xdr:cNvPr id="9" name="Diagramm 8">
              <a:extLst>
                <a:ext uri="{FF2B5EF4-FFF2-40B4-BE49-F238E27FC236}">
                  <a16:creationId xmlns:a16="http://schemas.microsoft.com/office/drawing/2014/main" id="{9C759F72-B415-E94D-B2F7-B3DE9DE059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607301" y="310847345"/>
              <a:ext cx="5079999" cy="3891519"/>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xdr:col>
      <xdr:colOff>596</xdr:colOff>
      <xdr:row>122</xdr:row>
      <xdr:rowOff>20146</xdr:rowOff>
    </xdr:from>
    <xdr:to>
      <xdr:col>3</xdr:col>
      <xdr:colOff>923463</xdr:colOff>
      <xdr:row>142</xdr:row>
      <xdr:rowOff>87251</xdr:rowOff>
    </xdr:to>
    <xdr:graphicFrame macro="">
      <xdr:nvGraphicFramePr>
        <xdr:cNvPr id="2" name="Diagramm 1">
          <a:extLst>
            <a:ext uri="{FF2B5EF4-FFF2-40B4-BE49-F238E27FC236}">
              <a16:creationId xmlns:a16="http://schemas.microsoft.com/office/drawing/2014/main" id="{87E5200E-6702-B445-9206-F1CBDC636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346480</xdr:colOff>
      <xdr:row>13</xdr:row>
      <xdr:rowOff>0</xdr:rowOff>
    </xdr:from>
    <xdr:to>
      <xdr:col>9</xdr:col>
      <xdr:colOff>42248</xdr:colOff>
      <xdr:row>34</xdr:row>
      <xdr:rowOff>46014</xdr:rowOff>
    </xdr:to>
    <xdr:graphicFrame macro="">
      <xdr:nvGraphicFramePr>
        <xdr:cNvPr id="10" name="Diagramm 9">
          <a:extLst>
            <a:ext uri="{FF2B5EF4-FFF2-40B4-BE49-F238E27FC236}">
              <a16:creationId xmlns:a16="http://schemas.microsoft.com/office/drawing/2014/main" id="{CEA2B0F5-1A54-9B43-9AF1-1371FF3A0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xdr:row>
      <xdr:rowOff>0</xdr:rowOff>
    </xdr:from>
    <xdr:to>
      <xdr:col>4</xdr:col>
      <xdr:colOff>635010</xdr:colOff>
      <xdr:row>20</xdr:row>
      <xdr:rowOff>20164</xdr:rowOff>
    </xdr:to>
    <xdr:graphicFrame macro="">
      <xdr:nvGraphicFramePr>
        <xdr:cNvPr id="4" name="Diagramm 3">
          <a:extLst>
            <a:ext uri="{FF2B5EF4-FFF2-40B4-BE49-F238E27FC236}">
              <a16:creationId xmlns:a16="http://schemas.microsoft.com/office/drawing/2014/main" id="{6F57BB53-3BE6-0543-B0FD-53B322B1E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LM_Comparis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1"/>
      <sheetName val="Tabelle2"/>
    </sheetNames>
    <sheetDataSet>
      <sheetData sheetId="0"/>
      <sheetData sheetId="1">
        <row r="14">
          <cell r="C14" t="str">
            <v>Rating</v>
          </cell>
        </row>
        <row r="16">
          <cell r="B16" t="str">
            <v>Cahllenging change management</v>
          </cell>
          <cell r="C16">
            <v>9</v>
          </cell>
        </row>
        <row r="17">
          <cell r="B17" t="str">
            <v>Model output quality concerns</v>
          </cell>
          <cell r="C17">
            <v>7.5</v>
          </cell>
        </row>
        <row r="18">
          <cell r="B18" t="str">
            <v>Poor user experience</v>
          </cell>
          <cell r="C18">
            <v>7</v>
          </cell>
        </row>
        <row r="19">
          <cell r="B19" t="str">
            <v>Lack of executive sponsorship</v>
          </cell>
          <cell r="C19">
            <v>6.5</v>
          </cell>
        </row>
        <row r="20">
          <cell r="B20" t="str">
            <v>Challenging change management</v>
          </cell>
          <cell r="C20">
            <v>6.5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0615-5AAA-43BB-B2BF-5F8CB9AC3CCD}">
  <dimension ref="B2:V139"/>
  <sheetViews>
    <sheetView tabSelected="1" topLeftCell="B1" zoomScale="50" zoomScaleNormal="110" workbookViewId="0">
      <selection activeCell="D129" sqref="D129"/>
    </sheetView>
  </sheetViews>
  <sheetFormatPr baseColWidth="10" defaultColWidth="8.6640625" defaultRowHeight="15"/>
  <cols>
    <col min="1" max="1" width="4.6640625" style="6" customWidth="1"/>
    <col min="2" max="2" width="19.83203125" style="5" customWidth="1"/>
    <col min="3" max="3" width="62.1640625" style="6" customWidth="1"/>
    <col min="4" max="4" width="139.33203125" style="6" customWidth="1"/>
    <col min="5" max="5" width="38" style="6" customWidth="1"/>
    <col min="6" max="6" width="20" style="5" customWidth="1"/>
    <col min="7" max="7" width="23.33203125" style="5" customWidth="1"/>
    <col min="8" max="8" width="16.5" style="5" customWidth="1"/>
    <col min="9" max="16384" width="8.6640625" style="6"/>
  </cols>
  <sheetData>
    <row r="2" spans="2:22" ht="7.75" customHeight="1"/>
    <row r="3" spans="2:22" ht="14.5" customHeight="1">
      <c r="B3" s="80" t="s">
        <v>187</v>
      </c>
      <c r="C3" s="79" t="s">
        <v>119</v>
      </c>
      <c r="D3" s="79" t="s">
        <v>120</v>
      </c>
      <c r="E3" s="79" t="s">
        <v>121</v>
      </c>
      <c r="F3" s="79" t="s">
        <v>183</v>
      </c>
      <c r="G3" s="79" t="s">
        <v>184</v>
      </c>
      <c r="H3" s="79" t="s">
        <v>185</v>
      </c>
    </row>
    <row r="4" spans="2:22" ht="10.25" customHeight="1">
      <c r="B4" s="80"/>
      <c r="C4" s="79"/>
      <c r="D4" s="79"/>
      <c r="E4" s="79"/>
      <c r="F4" s="79"/>
      <c r="G4" s="79"/>
      <c r="H4" s="79"/>
    </row>
    <row r="5" spans="2:22" ht="18" customHeight="1">
      <c r="B5" s="31" t="s">
        <v>247</v>
      </c>
      <c r="C5" s="76" t="s">
        <v>262</v>
      </c>
      <c r="D5" s="77"/>
      <c r="E5" s="77"/>
      <c r="F5" s="77"/>
      <c r="G5" s="77"/>
      <c r="H5" s="78"/>
    </row>
    <row r="6" spans="2:22" ht="409.6">
      <c r="B6" s="7">
        <v>1.1000000000000001</v>
      </c>
      <c r="C6" s="8" t="s">
        <v>0</v>
      </c>
      <c r="D6" s="9" t="s">
        <v>1</v>
      </c>
      <c r="E6" s="9" t="s">
        <v>2</v>
      </c>
      <c r="F6" s="4">
        <v>5</v>
      </c>
      <c r="G6" s="10">
        <v>5</v>
      </c>
      <c r="H6" s="10">
        <v>4</v>
      </c>
    </row>
    <row r="7" spans="2:22" ht="152" customHeight="1">
      <c r="B7" s="7">
        <v>1.2</v>
      </c>
      <c r="C7" s="9" t="s">
        <v>3</v>
      </c>
      <c r="D7" s="9" t="s">
        <v>4</v>
      </c>
      <c r="E7" s="9" t="s">
        <v>5</v>
      </c>
      <c r="F7" s="10">
        <v>4</v>
      </c>
      <c r="G7" s="13">
        <v>5</v>
      </c>
      <c r="H7" s="10">
        <v>4</v>
      </c>
    </row>
    <row r="8" spans="2:22" ht="409.6">
      <c r="B8" s="7">
        <v>1.3</v>
      </c>
      <c r="C8" s="9" t="s">
        <v>6</v>
      </c>
      <c r="D8" s="9" t="s">
        <v>7</v>
      </c>
      <c r="E8" s="9" t="s">
        <v>5</v>
      </c>
      <c r="F8" s="10">
        <v>5</v>
      </c>
      <c r="G8" s="13">
        <v>5</v>
      </c>
      <c r="H8" s="10">
        <v>4</v>
      </c>
    </row>
    <row r="9" spans="2:22" ht="304">
      <c r="B9" s="7">
        <v>1.4</v>
      </c>
      <c r="C9" s="9" t="s">
        <v>8</v>
      </c>
      <c r="D9" s="9" t="s">
        <v>9</v>
      </c>
      <c r="E9" s="9" t="s">
        <v>141</v>
      </c>
      <c r="F9" s="10">
        <v>5</v>
      </c>
      <c r="G9" s="13">
        <v>5</v>
      </c>
      <c r="H9" s="10">
        <v>2</v>
      </c>
    </row>
    <row r="10" spans="2:22" ht="409.6">
      <c r="B10" s="7">
        <v>1.5</v>
      </c>
      <c r="C10" s="9" t="s">
        <v>10</v>
      </c>
      <c r="D10" s="9" t="s">
        <v>11</v>
      </c>
      <c r="E10" s="9" t="s">
        <v>140</v>
      </c>
      <c r="F10" s="10">
        <v>5</v>
      </c>
      <c r="G10" s="13">
        <v>5</v>
      </c>
      <c r="H10" s="10">
        <v>2</v>
      </c>
    </row>
    <row r="11" spans="2:22" ht="106.5" customHeight="1">
      <c r="B11" s="7">
        <v>1.6</v>
      </c>
      <c r="C11" s="9" t="s">
        <v>12</v>
      </c>
      <c r="D11" s="9" t="s">
        <v>13</v>
      </c>
      <c r="E11" s="9" t="s">
        <v>139</v>
      </c>
      <c r="F11" s="10">
        <v>5</v>
      </c>
      <c r="G11" s="13">
        <v>5</v>
      </c>
      <c r="H11" s="10">
        <v>2</v>
      </c>
    </row>
    <row r="12" spans="2:22" ht="199.5" customHeight="1">
      <c r="B12" s="7">
        <v>1.7</v>
      </c>
      <c r="C12" s="9" t="s">
        <v>14</v>
      </c>
      <c r="D12" s="9" t="s">
        <v>15</v>
      </c>
      <c r="E12" s="9" t="s">
        <v>138</v>
      </c>
      <c r="F12" s="10">
        <v>5</v>
      </c>
      <c r="G12" s="13">
        <v>5</v>
      </c>
      <c r="H12" s="10" t="s">
        <v>186</v>
      </c>
    </row>
    <row r="13" spans="2:22" ht="105" customHeight="1">
      <c r="B13" s="7">
        <v>1.8</v>
      </c>
      <c r="C13" s="9" t="s">
        <v>16</v>
      </c>
      <c r="D13" s="9" t="s">
        <v>17</v>
      </c>
      <c r="E13" s="9" t="s">
        <v>137</v>
      </c>
      <c r="F13" s="10">
        <v>4</v>
      </c>
      <c r="G13" s="13">
        <v>5</v>
      </c>
      <c r="H13" s="10">
        <v>5</v>
      </c>
    </row>
    <row r="14" spans="2:22" ht="402" customHeight="1">
      <c r="B14" s="7">
        <v>1.9</v>
      </c>
      <c r="C14" s="9" t="s">
        <v>18</v>
      </c>
      <c r="D14" s="9" t="s">
        <v>19</v>
      </c>
      <c r="E14" s="9" t="s">
        <v>136</v>
      </c>
      <c r="F14" s="10">
        <v>5</v>
      </c>
      <c r="G14" s="13">
        <v>5</v>
      </c>
      <c r="H14" s="10" t="s">
        <v>186</v>
      </c>
    </row>
    <row r="15" spans="2:22" ht="17" customHeight="1">
      <c r="B15" s="21" t="s">
        <v>250</v>
      </c>
      <c r="C15" s="19"/>
      <c r="D15" s="19"/>
      <c r="E15" s="19"/>
      <c r="F15" s="22">
        <f>AVERAGE(F6:F14)</f>
        <v>4.7777777777777777</v>
      </c>
      <c r="G15" s="20">
        <f>AVERAGE(G6:G14)</f>
        <v>5</v>
      </c>
      <c r="H15" s="22">
        <f>AVERAGE(H6:H14)</f>
        <v>3.2857142857142856</v>
      </c>
      <c r="J15" s="53"/>
      <c r="K15" s="54"/>
      <c r="L15" s="54"/>
      <c r="M15" s="54"/>
      <c r="N15" s="55"/>
      <c r="O15" s="55"/>
      <c r="P15" s="53"/>
      <c r="Q15" s="54"/>
      <c r="R15" s="54"/>
      <c r="S15" s="54"/>
      <c r="T15" s="54"/>
      <c r="U15" s="54"/>
      <c r="V15" s="54"/>
    </row>
    <row r="16" spans="2:22" ht="14.5" customHeight="1">
      <c r="B16" s="29" t="s">
        <v>247</v>
      </c>
      <c r="C16" s="69" t="s">
        <v>261</v>
      </c>
      <c r="D16" s="70"/>
      <c r="E16" s="70"/>
      <c r="F16" s="70"/>
      <c r="G16" s="70"/>
      <c r="H16" s="71"/>
      <c r="J16" s="53"/>
      <c r="K16" s="53"/>
      <c r="L16" s="53"/>
      <c r="M16" s="53"/>
      <c r="N16" s="53"/>
      <c r="O16" s="53"/>
      <c r="P16" s="53"/>
      <c r="Q16" s="53"/>
      <c r="R16" s="53"/>
      <c r="S16" s="53"/>
      <c r="T16" s="53"/>
      <c r="U16" s="53"/>
      <c r="V16" s="53"/>
    </row>
    <row r="17" spans="2:8" ht="409.6">
      <c r="B17" s="7">
        <v>2.1</v>
      </c>
      <c r="C17" s="9" t="s">
        <v>20</v>
      </c>
      <c r="D17" s="9" t="s">
        <v>21</v>
      </c>
      <c r="E17" s="9" t="s">
        <v>135</v>
      </c>
      <c r="F17" s="10">
        <v>5</v>
      </c>
      <c r="G17" s="10">
        <v>4</v>
      </c>
      <c r="H17" s="10">
        <v>7</v>
      </c>
    </row>
    <row r="18" spans="2:8" ht="409.6">
      <c r="B18" s="7">
        <v>2.2000000000000002</v>
      </c>
      <c r="C18" s="9" t="s">
        <v>20</v>
      </c>
      <c r="D18" s="9" t="s">
        <v>122</v>
      </c>
      <c r="E18" s="9" t="s">
        <v>134</v>
      </c>
      <c r="F18" s="10">
        <v>2</v>
      </c>
      <c r="G18" s="10">
        <v>2</v>
      </c>
      <c r="H18" s="10">
        <v>16</v>
      </c>
    </row>
    <row r="19" spans="2:8" ht="409.6">
      <c r="B19" s="7">
        <v>2.2999999999999998</v>
      </c>
      <c r="C19" s="9" t="s">
        <v>22</v>
      </c>
      <c r="D19" s="9" t="s">
        <v>23</v>
      </c>
      <c r="E19" s="9" t="s">
        <v>133</v>
      </c>
      <c r="F19" s="10">
        <v>5</v>
      </c>
      <c r="G19" s="10">
        <v>2</v>
      </c>
      <c r="H19" s="10">
        <v>8</v>
      </c>
    </row>
    <row r="20" spans="2:8" ht="409.6">
      <c r="B20" s="7">
        <v>2.4</v>
      </c>
      <c r="C20" s="9" t="s">
        <v>24</v>
      </c>
      <c r="D20" s="9" t="s">
        <v>25</v>
      </c>
      <c r="E20" s="9" t="s">
        <v>132</v>
      </c>
      <c r="F20" s="10">
        <v>2</v>
      </c>
      <c r="G20" s="10">
        <v>3</v>
      </c>
      <c r="H20" s="10">
        <v>19</v>
      </c>
    </row>
    <row r="21" spans="2:8" ht="17" customHeight="1">
      <c r="B21" s="21" t="s">
        <v>250</v>
      </c>
      <c r="C21" s="19"/>
      <c r="D21" s="19"/>
      <c r="E21" s="19"/>
      <c r="F21" s="22">
        <f>AVERAGE(F17:F20)</f>
        <v>3.5</v>
      </c>
      <c r="G21" s="20">
        <f>AVERAGE(G17:G20)</f>
        <v>2.75</v>
      </c>
      <c r="H21" s="22">
        <f>AVERAGE(H17:H20)</f>
        <v>12.5</v>
      </c>
    </row>
    <row r="22" spans="2:8" ht="16">
      <c r="B22" s="29" t="s">
        <v>248</v>
      </c>
      <c r="C22" s="69" t="s">
        <v>260</v>
      </c>
      <c r="D22" s="70"/>
      <c r="E22" s="70"/>
      <c r="F22" s="70"/>
      <c r="G22" s="70"/>
      <c r="H22" s="71"/>
    </row>
    <row r="23" spans="2:8" ht="249.5" customHeight="1">
      <c r="B23" s="7">
        <v>3.1</v>
      </c>
      <c r="C23" s="9" t="s">
        <v>26</v>
      </c>
      <c r="D23" s="9" t="s">
        <v>27</v>
      </c>
      <c r="E23" s="9" t="s">
        <v>131</v>
      </c>
      <c r="F23" s="10">
        <v>4</v>
      </c>
      <c r="G23" s="10">
        <v>4</v>
      </c>
      <c r="H23" s="10">
        <v>6</v>
      </c>
    </row>
    <row r="24" spans="2:8" ht="172.5" customHeight="1">
      <c r="B24" s="7">
        <v>3.2</v>
      </c>
      <c r="C24" s="9" t="s">
        <v>28</v>
      </c>
      <c r="D24" s="9" t="s">
        <v>29</v>
      </c>
      <c r="E24" s="9" t="s">
        <v>130</v>
      </c>
      <c r="F24" s="10">
        <v>4</v>
      </c>
      <c r="G24" s="10">
        <v>4</v>
      </c>
      <c r="H24" s="10">
        <v>19</v>
      </c>
    </row>
    <row r="25" spans="2:8" ht="205" customHeight="1">
      <c r="B25" s="7">
        <v>3.3</v>
      </c>
      <c r="C25" s="9" t="s">
        <v>30</v>
      </c>
      <c r="D25" s="9" t="s">
        <v>31</v>
      </c>
      <c r="E25" s="9" t="s">
        <v>129</v>
      </c>
      <c r="F25" s="10">
        <v>5</v>
      </c>
      <c r="G25" s="10">
        <v>4</v>
      </c>
      <c r="H25" s="10" t="s">
        <v>186</v>
      </c>
    </row>
    <row r="26" spans="2:8" ht="409.6">
      <c r="B26" s="7">
        <v>3.4</v>
      </c>
      <c r="C26" s="9" t="s">
        <v>32</v>
      </c>
      <c r="D26" s="9" t="s">
        <v>33</v>
      </c>
      <c r="E26" s="9" t="s">
        <v>128</v>
      </c>
      <c r="F26" s="10">
        <v>5</v>
      </c>
      <c r="G26" s="10">
        <v>5</v>
      </c>
      <c r="H26" s="10">
        <v>13</v>
      </c>
    </row>
    <row r="27" spans="2:8" ht="132" customHeight="1">
      <c r="B27" s="7">
        <v>3.5</v>
      </c>
      <c r="C27" s="9" t="s">
        <v>34</v>
      </c>
      <c r="D27" s="9" t="s">
        <v>35</v>
      </c>
      <c r="E27" s="9" t="s">
        <v>127</v>
      </c>
      <c r="F27" s="10">
        <v>4</v>
      </c>
      <c r="G27" s="10">
        <v>4</v>
      </c>
      <c r="H27" s="10">
        <v>13</v>
      </c>
    </row>
    <row r="28" spans="2:8" ht="409.6">
      <c r="B28" s="7">
        <v>3.6</v>
      </c>
      <c r="C28" s="11" t="s">
        <v>36</v>
      </c>
      <c r="D28" s="9" t="s">
        <v>37</v>
      </c>
      <c r="E28" s="9" t="s">
        <v>126</v>
      </c>
      <c r="F28" s="7">
        <v>4</v>
      </c>
      <c r="G28" s="7">
        <v>3</v>
      </c>
      <c r="H28" s="7">
        <v>11</v>
      </c>
    </row>
    <row r="29" spans="2:8" ht="409.6">
      <c r="B29" s="7">
        <v>3.7</v>
      </c>
      <c r="C29" s="9" t="s">
        <v>38</v>
      </c>
      <c r="D29" s="9" t="s">
        <v>39</v>
      </c>
      <c r="E29" s="9" t="s">
        <v>125</v>
      </c>
      <c r="F29" s="10">
        <v>4</v>
      </c>
      <c r="G29" s="10">
        <v>4</v>
      </c>
      <c r="H29" s="10">
        <v>13</v>
      </c>
    </row>
    <row r="30" spans="2:8" ht="133" customHeight="1">
      <c r="B30" s="7">
        <v>3.8</v>
      </c>
      <c r="C30" s="9" t="s">
        <v>40</v>
      </c>
      <c r="D30" s="9" t="s">
        <v>41</v>
      </c>
      <c r="E30" s="9" t="s">
        <v>124</v>
      </c>
      <c r="F30" s="10">
        <v>5</v>
      </c>
      <c r="G30" s="10">
        <v>5</v>
      </c>
      <c r="H30" s="10">
        <v>8</v>
      </c>
    </row>
    <row r="31" spans="2:8" ht="209.5" customHeight="1">
      <c r="B31" s="7">
        <v>3.9</v>
      </c>
      <c r="C31" s="9" t="s">
        <v>42</v>
      </c>
      <c r="D31" s="9" t="s">
        <v>43</v>
      </c>
      <c r="E31" s="9" t="s">
        <v>123</v>
      </c>
      <c r="F31" s="10">
        <v>4</v>
      </c>
      <c r="G31" s="10">
        <v>3</v>
      </c>
      <c r="H31" s="10">
        <v>7</v>
      </c>
    </row>
    <row r="32" spans="2:8" ht="15" customHeight="1">
      <c r="B32" s="21" t="s">
        <v>250</v>
      </c>
      <c r="C32" s="19"/>
      <c r="D32" s="19"/>
      <c r="E32" s="19"/>
      <c r="F32" s="22">
        <f>AVERAGE(F23:F31)</f>
        <v>4.333333333333333</v>
      </c>
      <c r="G32" s="20">
        <f>AVERAGE(G23:G31)</f>
        <v>4</v>
      </c>
      <c r="H32" s="22">
        <f>AVERAGE(H23:H31)</f>
        <v>11.25</v>
      </c>
    </row>
    <row r="33" spans="2:8" ht="14.5" customHeight="1">
      <c r="B33" s="29" t="s">
        <v>248</v>
      </c>
      <c r="C33" s="69" t="s">
        <v>259</v>
      </c>
      <c r="D33" s="70"/>
      <c r="E33" s="70"/>
      <c r="F33" s="70"/>
      <c r="G33" s="70"/>
      <c r="H33" s="71"/>
    </row>
    <row r="34" spans="2:8" ht="134" customHeight="1">
      <c r="B34" s="7">
        <v>4.0999999999999996</v>
      </c>
      <c r="C34" s="9" t="s">
        <v>59</v>
      </c>
      <c r="D34" s="9" t="s">
        <v>60</v>
      </c>
      <c r="E34" s="9" t="s">
        <v>151</v>
      </c>
      <c r="F34" s="10">
        <v>4</v>
      </c>
      <c r="G34" s="10">
        <v>4</v>
      </c>
      <c r="H34" s="10">
        <v>4</v>
      </c>
    </row>
    <row r="35" spans="2:8" ht="409.6">
      <c r="B35" s="7">
        <v>4.2</v>
      </c>
      <c r="C35" s="9" t="s">
        <v>61</v>
      </c>
      <c r="D35" s="9" t="s">
        <v>62</v>
      </c>
      <c r="E35" s="9" t="s">
        <v>152</v>
      </c>
      <c r="F35" s="10">
        <v>4</v>
      </c>
      <c r="G35" s="10">
        <v>4</v>
      </c>
      <c r="H35" s="10">
        <v>9</v>
      </c>
    </row>
    <row r="36" spans="2:8" ht="409.6">
      <c r="B36" s="7">
        <v>4.3</v>
      </c>
      <c r="C36" s="9" t="s">
        <v>63</v>
      </c>
      <c r="D36" s="9" t="s">
        <v>64</v>
      </c>
      <c r="E36" s="9" t="s">
        <v>153</v>
      </c>
      <c r="F36" s="10">
        <v>3</v>
      </c>
      <c r="G36" s="10">
        <v>3</v>
      </c>
      <c r="H36" s="10">
        <v>10</v>
      </c>
    </row>
    <row r="37" spans="2:8" ht="65" customHeight="1">
      <c r="B37" s="7">
        <v>4.4000000000000004</v>
      </c>
      <c r="C37" s="9" t="s">
        <v>65</v>
      </c>
      <c r="D37" s="9" t="s">
        <v>66</v>
      </c>
      <c r="E37" s="9" t="s">
        <v>154</v>
      </c>
      <c r="F37" s="10">
        <v>5</v>
      </c>
      <c r="G37" s="10">
        <v>5</v>
      </c>
      <c r="H37" s="10">
        <v>3</v>
      </c>
    </row>
    <row r="38" spans="2:8" ht="409.6">
      <c r="B38" s="7">
        <v>4.5</v>
      </c>
      <c r="C38" s="9" t="s">
        <v>67</v>
      </c>
      <c r="D38" s="9" t="s">
        <v>68</v>
      </c>
      <c r="E38" s="9" t="s">
        <v>155</v>
      </c>
      <c r="F38" s="10">
        <v>3</v>
      </c>
      <c r="G38" s="10">
        <v>3</v>
      </c>
      <c r="H38" s="10">
        <v>9</v>
      </c>
    </row>
    <row r="39" spans="2:8" ht="409.6">
      <c r="B39" s="7">
        <v>4.5999999999999996</v>
      </c>
      <c r="C39" s="9" t="s">
        <v>69</v>
      </c>
      <c r="D39" s="9" t="s">
        <v>70</v>
      </c>
      <c r="E39" s="9" t="s">
        <v>156</v>
      </c>
      <c r="F39" s="10">
        <v>4</v>
      </c>
      <c r="G39" s="10">
        <v>4</v>
      </c>
      <c r="H39" s="10">
        <v>9</v>
      </c>
    </row>
    <row r="40" spans="2:8" ht="409.6">
      <c r="B40" s="7">
        <v>4.7</v>
      </c>
      <c r="C40" s="9" t="s">
        <v>71</v>
      </c>
      <c r="D40" s="9" t="s">
        <v>72</v>
      </c>
      <c r="E40" s="9" t="s">
        <v>157</v>
      </c>
      <c r="F40" s="10">
        <v>4</v>
      </c>
      <c r="G40" s="10">
        <v>4</v>
      </c>
      <c r="H40" s="10">
        <v>5</v>
      </c>
    </row>
    <row r="41" spans="2:8" ht="48">
      <c r="B41" s="7">
        <v>4.8</v>
      </c>
      <c r="C41" s="9" t="s">
        <v>73</v>
      </c>
      <c r="D41" s="9" t="s">
        <v>74</v>
      </c>
      <c r="E41" s="9" t="s">
        <v>158</v>
      </c>
      <c r="F41" s="10">
        <v>5</v>
      </c>
      <c r="G41" s="10">
        <v>5</v>
      </c>
      <c r="H41" s="10">
        <v>3</v>
      </c>
    </row>
    <row r="42" spans="2:8" ht="380" customHeight="1">
      <c r="B42" s="7">
        <v>4.9000000000000004</v>
      </c>
      <c r="C42" s="9" t="s">
        <v>75</v>
      </c>
      <c r="D42" s="9" t="s">
        <v>76</v>
      </c>
      <c r="E42" s="9" t="s">
        <v>159</v>
      </c>
      <c r="F42" s="10">
        <v>5</v>
      </c>
      <c r="G42" s="10">
        <v>5</v>
      </c>
      <c r="H42" s="10">
        <v>3</v>
      </c>
    </row>
    <row r="43" spans="2:8" ht="16" customHeight="1">
      <c r="B43" s="21" t="s">
        <v>250</v>
      </c>
      <c r="C43" s="19"/>
      <c r="D43" s="19"/>
      <c r="E43" s="19"/>
      <c r="F43" s="22">
        <f>AVERAGE(F34:F42)</f>
        <v>4.1111111111111107</v>
      </c>
      <c r="G43" s="22">
        <f>AVERAGE(G34:G42)</f>
        <v>4.1111111111111107</v>
      </c>
      <c r="H43" s="22">
        <f>AVERAGE(H34:H42)</f>
        <v>6.1111111111111107</v>
      </c>
    </row>
    <row r="44" spans="2:8" ht="14.5" customHeight="1">
      <c r="B44" s="29" t="s">
        <v>248</v>
      </c>
      <c r="C44" s="69" t="s">
        <v>258</v>
      </c>
      <c r="D44" s="70"/>
      <c r="E44" s="70"/>
      <c r="F44" s="70"/>
      <c r="G44" s="70"/>
      <c r="H44" s="71"/>
    </row>
    <row r="45" spans="2:8" ht="409.6">
      <c r="B45" s="7">
        <v>5.0999999999999996</v>
      </c>
      <c r="C45" s="9" t="s">
        <v>44</v>
      </c>
      <c r="D45" s="9" t="s">
        <v>77</v>
      </c>
      <c r="E45" s="9" t="s">
        <v>160</v>
      </c>
      <c r="F45" s="10">
        <v>3</v>
      </c>
      <c r="G45" s="10">
        <v>4</v>
      </c>
      <c r="H45" s="10">
        <v>7</v>
      </c>
    </row>
    <row r="46" spans="2:8" ht="267.5" customHeight="1">
      <c r="B46" s="7">
        <v>5.2</v>
      </c>
      <c r="C46" s="9" t="s">
        <v>78</v>
      </c>
      <c r="D46" s="9" t="s">
        <v>45</v>
      </c>
      <c r="E46" s="9" t="s">
        <v>142</v>
      </c>
      <c r="F46" s="10">
        <v>5</v>
      </c>
      <c r="G46" s="10">
        <v>4</v>
      </c>
      <c r="H46" s="10">
        <v>6</v>
      </c>
    </row>
    <row r="47" spans="2:8" ht="409.6">
      <c r="B47" s="7">
        <v>5.3</v>
      </c>
      <c r="C47" s="9" t="s">
        <v>46</v>
      </c>
      <c r="D47" s="9" t="s">
        <v>47</v>
      </c>
      <c r="E47" s="1" t="s">
        <v>143</v>
      </c>
      <c r="F47" s="10">
        <v>4</v>
      </c>
      <c r="G47" s="10">
        <v>4</v>
      </c>
      <c r="H47" s="10">
        <v>10</v>
      </c>
    </row>
    <row r="48" spans="2:8" ht="409.6">
      <c r="B48" s="7">
        <v>5.4</v>
      </c>
      <c r="C48" s="9" t="s">
        <v>48</v>
      </c>
      <c r="D48" s="9" t="s">
        <v>79</v>
      </c>
      <c r="E48" s="9" t="s">
        <v>144</v>
      </c>
      <c r="F48" s="10">
        <v>4</v>
      </c>
      <c r="G48" s="10">
        <v>4</v>
      </c>
      <c r="H48" s="10">
        <v>12</v>
      </c>
    </row>
    <row r="49" spans="2:8" ht="409.6">
      <c r="B49" s="7">
        <v>5.5</v>
      </c>
      <c r="C49" s="9" t="s">
        <v>49</v>
      </c>
      <c r="D49" s="9" t="s">
        <v>50</v>
      </c>
      <c r="E49" s="9" t="s">
        <v>145</v>
      </c>
      <c r="F49" s="10">
        <v>4</v>
      </c>
      <c r="G49" s="10">
        <v>4</v>
      </c>
      <c r="H49" s="10">
        <v>6</v>
      </c>
    </row>
    <row r="50" spans="2:8" ht="409.6">
      <c r="B50" s="7">
        <v>5.6</v>
      </c>
      <c r="C50" s="9" t="s">
        <v>51</v>
      </c>
      <c r="D50" s="9" t="s">
        <v>80</v>
      </c>
      <c r="E50" s="9" t="s">
        <v>146</v>
      </c>
      <c r="F50" s="10">
        <v>5</v>
      </c>
      <c r="G50" s="10">
        <v>4</v>
      </c>
      <c r="H50" s="10">
        <v>10</v>
      </c>
    </row>
    <row r="51" spans="2:8" ht="409.6">
      <c r="B51" s="7">
        <v>5.7</v>
      </c>
      <c r="C51" s="9" t="s">
        <v>52</v>
      </c>
      <c r="D51" s="9" t="s">
        <v>53</v>
      </c>
      <c r="E51" s="9" t="s">
        <v>147</v>
      </c>
      <c r="F51" s="10">
        <v>5</v>
      </c>
      <c r="G51" s="10">
        <v>4</v>
      </c>
      <c r="H51" s="10">
        <v>6</v>
      </c>
    </row>
    <row r="52" spans="2:8" ht="192.5" customHeight="1">
      <c r="B52" s="7">
        <v>5.8</v>
      </c>
      <c r="C52" s="9" t="s">
        <v>54</v>
      </c>
      <c r="D52" s="9" t="s">
        <v>55</v>
      </c>
      <c r="E52" s="9" t="s">
        <v>148</v>
      </c>
      <c r="F52" s="10">
        <v>5</v>
      </c>
      <c r="G52" s="10">
        <v>4</v>
      </c>
      <c r="H52" s="10">
        <v>6</v>
      </c>
    </row>
    <row r="53" spans="2:8" ht="409.6">
      <c r="B53" s="7">
        <v>5.9</v>
      </c>
      <c r="C53" s="9" t="s">
        <v>56</v>
      </c>
      <c r="D53" s="9" t="s">
        <v>57</v>
      </c>
      <c r="E53" s="9" t="s">
        <v>149</v>
      </c>
      <c r="F53" s="10">
        <v>5</v>
      </c>
      <c r="G53" s="10">
        <v>5</v>
      </c>
      <c r="H53" s="10">
        <v>15</v>
      </c>
    </row>
    <row r="54" spans="2:8" ht="409.6">
      <c r="B54" s="12">
        <v>5.0999999999999996</v>
      </c>
      <c r="C54" s="9" t="s">
        <v>58</v>
      </c>
      <c r="D54" s="9" t="s">
        <v>81</v>
      </c>
      <c r="E54" s="9" t="s">
        <v>150</v>
      </c>
      <c r="F54" s="10">
        <v>5</v>
      </c>
      <c r="G54" s="10">
        <v>5</v>
      </c>
      <c r="H54" s="10" t="s">
        <v>186</v>
      </c>
    </row>
    <row r="55" spans="2:8" ht="15" customHeight="1">
      <c r="B55" s="21" t="s">
        <v>250</v>
      </c>
      <c r="C55" s="19"/>
      <c r="D55" s="19"/>
      <c r="E55" s="19"/>
      <c r="F55" s="22">
        <f>AVERAGE(F45:F54)</f>
        <v>4.5</v>
      </c>
      <c r="G55" s="20">
        <f>AVERAGE(G45:G54)</f>
        <v>4.2</v>
      </c>
      <c r="H55" s="22">
        <f>AVERAGE(H46:H54)</f>
        <v>8.875</v>
      </c>
    </row>
    <row r="56" spans="2:8" ht="14.5" customHeight="1">
      <c r="B56" s="29" t="s">
        <v>247</v>
      </c>
      <c r="C56" s="69" t="s">
        <v>257</v>
      </c>
      <c r="D56" s="70"/>
      <c r="E56" s="70"/>
      <c r="F56" s="70"/>
      <c r="G56" s="70"/>
      <c r="H56" s="71"/>
    </row>
    <row r="57" spans="2:8" ht="409.6">
      <c r="B57" s="7">
        <v>6.1</v>
      </c>
      <c r="C57" s="9"/>
      <c r="D57" s="9" t="s">
        <v>82</v>
      </c>
      <c r="E57" s="9" t="s">
        <v>161</v>
      </c>
      <c r="F57" s="10">
        <v>5</v>
      </c>
      <c r="G57" s="10">
        <v>4</v>
      </c>
      <c r="H57" s="10">
        <v>13</v>
      </c>
    </row>
    <row r="58" spans="2:8" ht="288" customHeight="1">
      <c r="B58" s="7">
        <v>6.2</v>
      </c>
      <c r="C58" s="9" t="s">
        <v>83</v>
      </c>
      <c r="D58" s="9" t="s">
        <v>84</v>
      </c>
      <c r="E58" s="9" t="s">
        <v>162</v>
      </c>
      <c r="F58" s="10">
        <v>4</v>
      </c>
      <c r="G58" s="10">
        <v>4</v>
      </c>
      <c r="H58" s="10">
        <v>8</v>
      </c>
    </row>
    <row r="59" spans="2:8" ht="409.6">
      <c r="B59" s="7">
        <v>6.3</v>
      </c>
      <c r="C59" s="9" t="s">
        <v>85</v>
      </c>
      <c r="D59" s="9" t="s">
        <v>86</v>
      </c>
      <c r="E59" s="9" t="s">
        <v>163</v>
      </c>
      <c r="F59" s="10">
        <v>5</v>
      </c>
      <c r="G59" s="10">
        <v>4</v>
      </c>
      <c r="H59" s="10">
        <v>6</v>
      </c>
    </row>
    <row r="60" spans="2:8" ht="292" customHeight="1">
      <c r="B60" s="7">
        <v>6.4</v>
      </c>
      <c r="C60" s="9" t="s">
        <v>87</v>
      </c>
      <c r="D60" s="9" t="s">
        <v>88</v>
      </c>
      <c r="E60" s="9"/>
      <c r="F60" s="10">
        <v>5</v>
      </c>
      <c r="G60" s="10">
        <v>5</v>
      </c>
      <c r="H60" s="10">
        <v>6</v>
      </c>
    </row>
    <row r="61" spans="2:8" ht="16">
      <c r="B61" s="7">
        <v>6.5</v>
      </c>
      <c r="C61" s="9" t="s">
        <v>89</v>
      </c>
      <c r="D61" s="9" t="s">
        <v>90</v>
      </c>
      <c r="E61" s="9" t="s">
        <v>164</v>
      </c>
      <c r="F61" s="10">
        <v>5</v>
      </c>
      <c r="G61" s="10">
        <v>5</v>
      </c>
      <c r="H61" s="10">
        <v>2</v>
      </c>
    </row>
    <row r="62" spans="2:8" ht="409.6">
      <c r="B62" s="7">
        <v>6.6</v>
      </c>
      <c r="C62" s="9" t="s">
        <v>91</v>
      </c>
      <c r="D62" s="9" t="s">
        <v>92</v>
      </c>
      <c r="E62" s="9" t="s">
        <v>165</v>
      </c>
      <c r="F62" s="10">
        <v>5</v>
      </c>
      <c r="G62" s="10">
        <v>4</v>
      </c>
      <c r="H62" s="10">
        <v>5</v>
      </c>
    </row>
    <row r="63" spans="2:8" ht="281.5" customHeight="1">
      <c r="B63" s="7">
        <v>6.7</v>
      </c>
      <c r="C63" s="9" t="s">
        <v>93</v>
      </c>
      <c r="D63" s="9" t="s">
        <v>94</v>
      </c>
      <c r="E63" s="9" t="s">
        <v>166</v>
      </c>
      <c r="F63" s="10">
        <v>5</v>
      </c>
      <c r="G63" s="10">
        <v>4</v>
      </c>
      <c r="H63" s="10">
        <v>3</v>
      </c>
    </row>
    <row r="64" spans="2:8" ht="48">
      <c r="B64" s="7">
        <v>6.8</v>
      </c>
      <c r="C64" s="9" t="s">
        <v>95</v>
      </c>
      <c r="D64" s="9" t="s">
        <v>96</v>
      </c>
      <c r="E64" s="9" t="s">
        <v>167</v>
      </c>
      <c r="F64" s="10">
        <v>1</v>
      </c>
      <c r="G64" s="10">
        <v>2</v>
      </c>
      <c r="H64" s="10">
        <v>2</v>
      </c>
    </row>
    <row r="65" spans="2:8" ht="123" customHeight="1">
      <c r="B65" s="7">
        <v>6.9</v>
      </c>
      <c r="C65" s="9" t="s">
        <v>97</v>
      </c>
      <c r="D65" s="9" t="s">
        <v>98</v>
      </c>
      <c r="E65" s="9"/>
      <c r="F65" s="10">
        <v>5</v>
      </c>
      <c r="G65" s="10">
        <v>5</v>
      </c>
      <c r="H65" s="10">
        <v>5</v>
      </c>
    </row>
    <row r="66" spans="2:8" ht="15" customHeight="1">
      <c r="B66" s="21" t="s">
        <v>250</v>
      </c>
      <c r="C66" s="19"/>
      <c r="D66" s="19"/>
      <c r="E66" s="19"/>
      <c r="F66" s="22">
        <f>AVERAGE(F57:F65)</f>
        <v>4.4444444444444446</v>
      </c>
      <c r="G66" s="22">
        <f>AVERAGE(G57:G65)</f>
        <v>4.1111111111111107</v>
      </c>
      <c r="H66" s="22">
        <f>AVERAGE(H57:H65)</f>
        <v>5.5555555555555554</v>
      </c>
    </row>
    <row r="67" spans="2:8">
      <c r="B67" s="30" t="s">
        <v>249</v>
      </c>
      <c r="C67" s="76" t="s">
        <v>256</v>
      </c>
      <c r="D67" s="77"/>
      <c r="E67" s="77"/>
      <c r="F67" s="77"/>
      <c r="G67" s="77"/>
      <c r="H67" s="78"/>
    </row>
    <row r="68" spans="2:8" ht="50.5" customHeight="1">
      <c r="B68" s="7">
        <v>7.1</v>
      </c>
      <c r="C68" s="9" t="s">
        <v>99</v>
      </c>
      <c r="D68" s="9" t="s">
        <v>100</v>
      </c>
      <c r="E68" s="9" t="s">
        <v>168</v>
      </c>
      <c r="F68" s="10">
        <v>2</v>
      </c>
      <c r="G68" s="10">
        <v>2</v>
      </c>
      <c r="H68" s="10">
        <v>8</v>
      </c>
    </row>
    <row r="69" spans="2:8" ht="409.6">
      <c r="B69" s="7">
        <v>7.2</v>
      </c>
      <c r="C69" s="9" t="s">
        <v>101</v>
      </c>
      <c r="D69" s="9" t="s">
        <v>102</v>
      </c>
      <c r="E69" s="9" t="s">
        <v>169</v>
      </c>
      <c r="F69" s="10">
        <v>4</v>
      </c>
      <c r="G69" s="10">
        <v>4</v>
      </c>
      <c r="H69" s="10">
        <v>5</v>
      </c>
    </row>
    <row r="70" spans="2:8" ht="79" customHeight="1">
      <c r="B70" s="7">
        <v>7.3</v>
      </c>
      <c r="C70" s="9" t="s">
        <v>103</v>
      </c>
      <c r="D70" s="9" t="s">
        <v>104</v>
      </c>
      <c r="E70" s="9" t="s">
        <v>170</v>
      </c>
      <c r="F70" s="10">
        <v>2</v>
      </c>
      <c r="G70" s="10">
        <v>2</v>
      </c>
      <c r="H70" s="10">
        <v>4</v>
      </c>
    </row>
    <row r="71" spans="2:8" ht="135" customHeight="1">
      <c r="B71" s="7">
        <v>7.4</v>
      </c>
      <c r="C71" s="9" t="s">
        <v>105</v>
      </c>
      <c r="D71" s="9" t="s">
        <v>106</v>
      </c>
      <c r="E71" s="9" t="s">
        <v>171</v>
      </c>
      <c r="F71" s="10">
        <v>3</v>
      </c>
      <c r="G71" s="10">
        <v>3</v>
      </c>
      <c r="H71" s="10">
        <v>6</v>
      </c>
    </row>
    <row r="72" spans="2:8" ht="409.6">
      <c r="B72" s="7">
        <v>7.5</v>
      </c>
      <c r="C72" s="9" t="s">
        <v>107</v>
      </c>
      <c r="D72" s="9" t="s">
        <v>108</v>
      </c>
      <c r="E72" s="9" t="s">
        <v>172</v>
      </c>
      <c r="F72" s="10">
        <v>2</v>
      </c>
      <c r="G72" s="10">
        <v>1</v>
      </c>
      <c r="H72" s="10">
        <v>10</v>
      </c>
    </row>
    <row r="73" spans="2:8" ht="409.6">
      <c r="B73" s="7">
        <v>7.6</v>
      </c>
      <c r="C73" s="9" t="s">
        <v>109</v>
      </c>
      <c r="D73" s="9" t="s">
        <v>110</v>
      </c>
      <c r="E73" s="9" t="s">
        <v>173</v>
      </c>
      <c r="F73" s="10">
        <v>4</v>
      </c>
      <c r="G73" s="10">
        <v>4</v>
      </c>
      <c r="H73" s="10">
        <v>5</v>
      </c>
    </row>
    <row r="74" spans="2:8" ht="37.5" customHeight="1">
      <c r="B74" s="7">
        <v>7.7</v>
      </c>
      <c r="C74" s="9" t="s">
        <v>111</v>
      </c>
      <c r="D74" s="9" t="s">
        <v>112</v>
      </c>
      <c r="E74" s="9" t="s">
        <v>303</v>
      </c>
      <c r="F74" s="10">
        <v>3</v>
      </c>
      <c r="G74" s="10">
        <v>1</v>
      </c>
      <c r="H74" s="10">
        <v>2</v>
      </c>
    </row>
    <row r="75" spans="2:8" ht="70" customHeight="1">
      <c r="B75" s="7">
        <v>7.8</v>
      </c>
      <c r="C75" s="9" t="s">
        <v>113</v>
      </c>
      <c r="D75" s="9" t="s">
        <v>114</v>
      </c>
      <c r="E75" s="9" t="s">
        <v>174</v>
      </c>
      <c r="F75" s="10">
        <v>3</v>
      </c>
      <c r="G75" s="10">
        <v>2</v>
      </c>
      <c r="H75" s="10">
        <v>3</v>
      </c>
    </row>
    <row r="76" spans="2:8" ht="82.5" customHeight="1">
      <c r="B76" s="7">
        <v>7.9</v>
      </c>
      <c r="C76" s="9" t="s">
        <v>115</v>
      </c>
      <c r="D76" s="9" t="s">
        <v>116</v>
      </c>
      <c r="E76" s="9" t="s">
        <v>175</v>
      </c>
      <c r="F76" s="10">
        <v>2</v>
      </c>
      <c r="G76" s="10">
        <v>2</v>
      </c>
      <c r="H76" s="10">
        <v>15</v>
      </c>
    </row>
    <row r="77" spans="2:8" ht="339" customHeight="1">
      <c r="B77" s="7">
        <v>7.1</v>
      </c>
      <c r="C77" s="9" t="s">
        <v>117</v>
      </c>
      <c r="D77" s="9" t="s">
        <v>118</v>
      </c>
      <c r="E77" s="9" t="s">
        <v>176</v>
      </c>
      <c r="F77" s="10">
        <v>4</v>
      </c>
      <c r="G77" s="10">
        <v>4</v>
      </c>
      <c r="H77" s="10">
        <v>12</v>
      </c>
    </row>
    <row r="78" spans="2:8" ht="15" customHeight="1">
      <c r="B78" s="21" t="s">
        <v>250</v>
      </c>
      <c r="C78" s="19"/>
      <c r="D78" s="19"/>
      <c r="E78" s="19"/>
      <c r="F78" s="22">
        <f>AVERAGE(F68:F77)</f>
        <v>2.9</v>
      </c>
      <c r="G78" s="20">
        <f>AVERAGE(G68:G77)</f>
        <v>2.5</v>
      </c>
      <c r="H78" s="22">
        <f>AVERAGE(H68:H77)</f>
        <v>7</v>
      </c>
    </row>
    <row r="79" spans="2:8" ht="14.5" customHeight="1">
      <c r="B79" s="29" t="s">
        <v>247</v>
      </c>
      <c r="C79" s="69" t="s">
        <v>255</v>
      </c>
      <c r="D79" s="70"/>
      <c r="E79" s="70"/>
      <c r="F79" s="70"/>
      <c r="G79" s="70"/>
      <c r="H79" s="71"/>
    </row>
    <row r="80" spans="2:8" ht="33" customHeight="1">
      <c r="B80" s="10">
        <v>8.1</v>
      </c>
      <c r="C80" s="2" t="s">
        <v>177</v>
      </c>
      <c r="D80" s="3" t="s">
        <v>179</v>
      </c>
      <c r="E80" s="75" t="s">
        <v>252</v>
      </c>
      <c r="F80" s="10">
        <v>4</v>
      </c>
      <c r="G80" s="10">
        <v>3</v>
      </c>
      <c r="H80" s="10">
        <v>2</v>
      </c>
    </row>
    <row r="81" spans="2:8" ht="55" customHeight="1">
      <c r="B81" s="10">
        <v>8.1999999999999993</v>
      </c>
      <c r="C81" s="14" t="s">
        <v>188</v>
      </c>
      <c r="D81" s="14" t="s">
        <v>193</v>
      </c>
      <c r="E81" s="75"/>
      <c r="F81" s="10">
        <v>4</v>
      </c>
      <c r="G81" s="10">
        <v>5</v>
      </c>
      <c r="H81" s="10">
        <v>3</v>
      </c>
    </row>
    <row r="82" spans="2:8" ht="74" customHeight="1">
      <c r="B82" s="10">
        <v>8.3000000000000007</v>
      </c>
      <c r="C82" s="14" t="s">
        <v>189</v>
      </c>
      <c r="D82" s="14" t="s">
        <v>180</v>
      </c>
      <c r="E82" s="75"/>
      <c r="F82" s="10">
        <v>3</v>
      </c>
      <c r="G82" s="10">
        <v>4</v>
      </c>
      <c r="H82" s="10">
        <v>5</v>
      </c>
    </row>
    <row r="83" spans="2:8" ht="409.6">
      <c r="B83" s="10">
        <v>8.4</v>
      </c>
      <c r="C83" s="14" t="s">
        <v>191</v>
      </c>
      <c r="D83" s="14" t="s">
        <v>181</v>
      </c>
      <c r="E83" s="75"/>
      <c r="F83" s="10">
        <v>4</v>
      </c>
      <c r="G83" s="10">
        <v>4</v>
      </c>
      <c r="H83" s="10">
        <v>4</v>
      </c>
    </row>
    <row r="84" spans="2:8" ht="409.6">
      <c r="B84" s="10">
        <v>8.5</v>
      </c>
      <c r="C84" s="14" t="s">
        <v>178</v>
      </c>
      <c r="D84" s="14" t="s">
        <v>182</v>
      </c>
      <c r="E84" s="75"/>
      <c r="F84" s="10">
        <v>4</v>
      </c>
      <c r="G84" s="10">
        <v>5</v>
      </c>
      <c r="H84" s="10">
        <v>6</v>
      </c>
    </row>
    <row r="85" spans="2:8" ht="408" customHeight="1">
      <c r="B85" s="10">
        <v>8.6</v>
      </c>
      <c r="C85" s="14" t="s">
        <v>192</v>
      </c>
      <c r="D85" s="14" t="s">
        <v>190</v>
      </c>
      <c r="E85" s="10"/>
      <c r="F85" s="10">
        <v>4</v>
      </c>
      <c r="G85" s="10">
        <v>4</v>
      </c>
      <c r="H85" s="10">
        <v>15</v>
      </c>
    </row>
    <row r="86" spans="2:8" ht="17" customHeight="1">
      <c r="B86" s="21" t="s">
        <v>250</v>
      </c>
      <c r="C86" s="23"/>
      <c r="D86" s="23"/>
      <c r="E86" s="23"/>
      <c r="F86" s="24">
        <f>AVERAGE(F80:F85)</f>
        <v>3.8333333333333335</v>
      </c>
      <c r="G86" s="24">
        <f>AVERAGE(G80:G85)</f>
        <v>4.166666666666667</v>
      </c>
      <c r="H86" s="24">
        <f>AVERAGE(H80:H85)</f>
        <v>5.833333333333333</v>
      </c>
    </row>
    <row r="87" spans="2:8" ht="17" customHeight="1">
      <c r="B87" s="29" t="s">
        <v>247</v>
      </c>
      <c r="C87" s="69" t="s">
        <v>254</v>
      </c>
      <c r="D87" s="70"/>
      <c r="E87" s="70"/>
      <c r="F87" s="70"/>
      <c r="G87" s="70"/>
      <c r="H87" s="71"/>
    </row>
    <row r="88" spans="2:8" ht="409.6">
      <c r="B88" s="10">
        <v>9.1</v>
      </c>
      <c r="C88" s="14" t="s">
        <v>194</v>
      </c>
      <c r="D88" s="14" t="s">
        <v>195</v>
      </c>
      <c r="E88" s="14" t="s">
        <v>218</v>
      </c>
      <c r="F88" s="10">
        <v>3</v>
      </c>
      <c r="G88" s="10">
        <v>3</v>
      </c>
      <c r="H88" s="10">
        <v>10</v>
      </c>
    </row>
    <row r="89" spans="2:8" ht="409.6">
      <c r="B89" s="10">
        <v>9.1999999999999993</v>
      </c>
      <c r="C89" s="14" t="s">
        <v>196</v>
      </c>
      <c r="D89" s="14" t="s">
        <v>197</v>
      </c>
      <c r="E89" s="14" t="s">
        <v>217</v>
      </c>
      <c r="F89" s="10">
        <v>4</v>
      </c>
      <c r="G89" s="10">
        <v>4</v>
      </c>
      <c r="H89" s="10">
        <v>5</v>
      </c>
    </row>
    <row r="90" spans="2:8" ht="409.6">
      <c r="B90" s="10">
        <v>9.3000000000000007</v>
      </c>
      <c r="C90" s="14" t="s">
        <v>198</v>
      </c>
      <c r="D90" s="14" t="s">
        <v>199</v>
      </c>
      <c r="E90" s="14" t="s">
        <v>216</v>
      </c>
      <c r="F90" s="10">
        <v>2</v>
      </c>
      <c r="G90" s="10">
        <v>3</v>
      </c>
      <c r="H90" s="10">
        <v>9</v>
      </c>
    </row>
    <row r="91" spans="2:8" ht="102.5" customHeight="1">
      <c r="B91" s="10">
        <v>9.4</v>
      </c>
      <c r="C91" s="14" t="s">
        <v>200</v>
      </c>
      <c r="D91" s="14" t="s">
        <v>201</v>
      </c>
      <c r="E91" s="14" t="s">
        <v>215</v>
      </c>
      <c r="F91" s="10">
        <v>2</v>
      </c>
      <c r="G91" s="10">
        <v>3</v>
      </c>
      <c r="H91" s="10"/>
    </row>
    <row r="92" spans="2:8" ht="409.6">
      <c r="B92" s="10">
        <v>9.5</v>
      </c>
      <c r="C92" s="14" t="s">
        <v>202</v>
      </c>
      <c r="D92" s="14" t="s">
        <v>203</v>
      </c>
      <c r="E92" s="14" t="s">
        <v>203</v>
      </c>
      <c r="F92" s="10">
        <v>5</v>
      </c>
      <c r="G92" s="10">
        <v>5</v>
      </c>
      <c r="H92" s="10">
        <v>6</v>
      </c>
    </row>
    <row r="93" spans="2:8" ht="409.6">
      <c r="B93" s="10">
        <v>9.6</v>
      </c>
      <c r="C93" s="14" t="s">
        <v>204</v>
      </c>
      <c r="D93" s="14" t="s">
        <v>205</v>
      </c>
      <c r="E93" s="14" t="s">
        <v>214</v>
      </c>
      <c r="F93" s="10">
        <v>1</v>
      </c>
      <c r="G93" s="10">
        <v>2</v>
      </c>
      <c r="H93" s="10">
        <v>8</v>
      </c>
    </row>
    <row r="94" spans="2:8" ht="32">
      <c r="B94" s="10">
        <v>9.6999999999999993</v>
      </c>
      <c r="C94" s="14" t="s">
        <v>206</v>
      </c>
      <c r="D94" s="14" t="s">
        <v>207</v>
      </c>
      <c r="E94" s="14" t="s">
        <v>207</v>
      </c>
      <c r="F94" s="10">
        <v>5</v>
      </c>
      <c r="G94" s="10">
        <v>5</v>
      </c>
      <c r="H94" s="10">
        <v>5</v>
      </c>
    </row>
    <row r="95" spans="2:8" ht="409.6">
      <c r="B95" s="10">
        <v>9.8000000000000007</v>
      </c>
      <c r="C95" s="14" t="s">
        <v>208</v>
      </c>
      <c r="D95" s="14" t="s">
        <v>209</v>
      </c>
      <c r="E95" s="14" t="s">
        <v>213</v>
      </c>
      <c r="F95" s="10">
        <v>2</v>
      </c>
      <c r="G95" s="10">
        <v>2</v>
      </c>
      <c r="H95" s="10">
        <v>15</v>
      </c>
    </row>
    <row r="96" spans="2:8" ht="80.5" customHeight="1">
      <c r="B96" s="15">
        <v>9.9</v>
      </c>
      <c r="C96" s="14" t="s">
        <v>210</v>
      </c>
      <c r="D96" s="16" t="s">
        <v>211</v>
      </c>
      <c r="E96" s="14" t="s">
        <v>212</v>
      </c>
      <c r="F96" s="10">
        <v>5</v>
      </c>
      <c r="G96" s="10">
        <v>5</v>
      </c>
      <c r="H96" s="17">
        <v>11</v>
      </c>
    </row>
    <row r="97" spans="2:8" ht="14" customHeight="1">
      <c r="B97" s="21" t="s">
        <v>250</v>
      </c>
      <c r="C97" s="23"/>
      <c r="D97" s="23"/>
      <c r="E97" s="23"/>
      <c r="F97" s="24">
        <f>AVERAGE(F88:F96)</f>
        <v>3.2222222222222223</v>
      </c>
      <c r="G97" s="24">
        <f>AVERAGE(G88:G96)</f>
        <v>3.5555555555555554</v>
      </c>
      <c r="H97" s="24">
        <f>AVERAGE(H88:H96)</f>
        <v>8.625</v>
      </c>
    </row>
    <row r="98" spans="2:8" ht="16">
      <c r="B98" s="28" t="s">
        <v>247</v>
      </c>
      <c r="C98" s="72" t="s">
        <v>253</v>
      </c>
      <c r="D98" s="73"/>
      <c r="E98" s="73"/>
      <c r="F98" s="73"/>
      <c r="G98" s="73"/>
      <c r="H98" s="74"/>
    </row>
    <row r="99" spans="2:8" ht="409.6">
      <c r="B99" s="10">
        <v>10.1</v>
      </c>
      <c r="C99" s="9" t="s">
        <v>251</v>
      </c>
      <c r="D99" s="9" t="s">
        <v>219</v>
      </c>
      <c r="E99" s="9" t="s">
        <v>246</v>
      </c>
      <c r="F99" s="10">
        <v>3</v>
      </c>
      <c r="G99" s="10">
        <v>3</v>
      </c>
      <c r="H99" s="10">
        <v>10</v>
      </c>
    </row>
    <row r="100" spans="2:8" ht="304">
      <c r="B100" s="10">
        <v>10.199999999999999</v>
      </c>
      <c r="C100" s="9" t="s">
        <v>220</v>
      </c>
      <c r="D100" s="9" t="s">
        <v>221</v>
      </c>
      <c r="E100" s="9" t="s">
        <v>245</v>
      </c>
      <c r="F100" s="10">
        <v>4</v>
      </c>
      <c r="G100" s="10">
        <v>3</v>
      </c>
      <c r="H100" s="10">
        <v>10</v>
      </c>
    </row>
    <row r="101" spans="2:8" ht="32">
      <c r="B101" s="10">
        <v>10.3</v>
      </c>
      <c r="C101" s="9" t="s">
        <v>222</v>
      </c>
      <c r="D101" s="9" t="s">
        <v>223</v>
      </c>
      <c r="E101" s="9" t="s">
        <v>244</v>
      </c>
      <c r="F101" s="10">
        <v>5</v>
      </c>
      <c r="G101" s="10">
        <v>5</v>
      </c>
      <c r="H101" s="10">
        <v>6</v>
      </c>
    </row>
    <row r="102" spans="2:8" ht="409.6">
      <c r="B102" s="10">
        <v>10.4</v>
      </c>
      <c r="C102" s="9" t="s">
        <v>224</v>
      </c>
      <c r="D102" s="9" t="s">
        <v>225</v>
      </c>
      <c r="E102" s="9" t="s">
        <v>243</v>
      </c>
      <c r="F102" s="10">
        <v>4</v>
      </c>
      <c r="G102" s="10">
        <v>3</v>
      </c>
      <c r="H102" s="10">
        <v>11</v>
      </c>
    </row>
    <row r="103" spans="2:8" ht="32">
      <c r="B103" s="10">
        <v>10.5</v>
      </c>
      <c r="C103" s="9" t="s">
        <v>226</v>
      </c>
      <c r="D103" s="9" t="s">
        <v>227</v>
      </c>
      <c r="E103" s="9" t="s">
        <v>242</v>
      </c>
      <c r="F103" s="10">
        <v>3</v>
      </c>
      <c r="G103" s="10">
        <v>3</v>
      </c>
      <c r="H103" s="10">
        <v>4</v>
      </c>
    </row>
    <row r="104" spans="2:8" ht="380">
      <c r="B104" s="10">
        <v>10.6</v>
      </c>
      <c r="C104" s="9" t="s">
        <v>228</v>
      </c>
      <c r="D104" s="9" t="s">
        <v>229</v>
      </c>
      <c r="E104" s="9" t="s">
        <v>241</v>
      </c>
      <c r="F104" s="10">
        <v>4</v>
      </c>
      <c r="G104" s="10">
        <v>4</v>
      </c>
      <c r="H104" s="7">
        <v>6</v>
      </c>
    </row>
    <row r="105" spans="2:8" ht="192">
      <c r="B105" s="10">
        <v>10.7</v>
      </c>
      <c r="C105" s="9" t="s">
        <v>230</v>
      </c>
      <c r="D105" s="9" t="s">
        <v>231</v>
      </c>
      <c r="E105" s="9" t="s">
        <v>240</v>
      </c>
      <c r="F105" s="10">
        <v>2</v>
      </c>
      <c r="G105" s="10">
        <v>2</v>
      </c>
      <c r="H105" s="10">
        <v>15</v>
      </c>
    </row>
    <row r="106" spans="2:8" ht="176">
      <c r="B106" s="10">
        <v>10.8</v>
      </c>
      <c r="C106" s="9" t="s">
        <v>232</v>
      </c>
      <c r="D106" s="9" t="s">
        <v>233</v>
      </c>
      <c r="E106" s="9" t="s">
        <v>239</v>
      </c>
      <c r="F106" s="10">
        <v>4</v>
      </c>
      <c r="G106" s="10">
        <v>3</v>
      </c>
      <c r="H106" s="10">
        <v>6</v>
      </c>
    </row>
    <row r="107" spans="2:8" ht="409.6">
      <c r="B107" s="10">
        <v>10.9</v>
      </c>
      <c r="C107" s="9" t="s">
        <v>295</v>
      </c>
      <c r="D107" s="9" t="s">
        <v>234</v>
      </c>
      <c r="E107" s="9" t="s">
        <v>238</v>
      </c>
      <c r="F107" s="10">
        <v>3</v>
      </c>
      <c r="G107" s="10">
        <v>3</v>
      </c>
      <c r="H107" s="10">
        <v>11</v>
      </c>
    </row>
    <row r="108" spans="2:8" ht="176">
      <c r="B108" s="18">
        <v>10.1</v>
      </c>
      <c r="C108" s="9" t="s">
        <v>235</v>
      </c>
      <c r="D108" s="9" t="s">
        <v>236</v>
      </c>
      <c r="E108" s="9" t="s">
        <v>237</v>
      </c>
      <c r="F108" s="10">
        <v>2</v>
      </c>
      <c r="G108" s="10">
        <v>1</v>
      </c>
      <c r="H108" s="10"/>
    </row>
    <row r="109" spans="2:8" ht="25" customHeight="1">
      <c r="B109" s="27" t="s">
        <v>250</v>
      </c>
      <c r="C109" s="23"/>
      <c r="D109" s="23"/>
      <c r="E109" s="23"/>
      <c r="F109" s="24">
        <f>AVERAGE(F99:F108)</f>
        <v>3.4</v>
      </c>
      <c r="G109" s="24">
        <f>AVERAGE(G99:G108)</f>
        <v>3</v>
      </c>
      <c r="H109" s="24">
        <f>AVERAGE(H99:H108)</f>
        <v>8.7777777777777786</v>
      </c>
    </row>
    <row r="110" spans="2:8" ht="25" customHeight="1">
      <c r="B110" s="32"/>
      <c r="C110" s="36"/>
      <c r="D110" s="36"/>
      <c r="E110" s="36"/>
      <c r="F110" s="37"/>
      <c r="G110" s="37"/>
      <c r="H110" s="37"/>
    </row>
    <row r="111" spans="2:8" ht="25" customHeight="1">
      <c r="B111" s="42" t="s">
        <v>264</v>
      </c>
      <c r="C111" s="40"/>
      <c r="D111" s="40"/>
      <c r="E111" s="40"/>
      <c r="F111" s="41">
        <v>10</v>
      </c>
      <c r="G111" s="41">
        <v>10</v>
      </c>
      <c r="H111" s="37"/>
    </row>
    <row r="112" spans="2:8" ht="25" customHeight="1">
      <c r="B112" s="42" t="s">
        <v>265</v>
      </c>
      <c r="C112" s="40"/>
      <c r="D112" s="40"/>
      <c r="E112" s="40"/>
      <c r="F112" s="41">
        <f>COUNTA(F3:F108)-F111</f>
        <v>85</v>
      </c>
      <c r="G112" s="41">
        <f>COUNTA(G3:G108)-G111</f>
        <v>85</v>
      </c>
      <c r="H112" s="37"/>
    </row>
    <row r="113" spans="2:8" ht="25" customHeight="1">
      <c r="B113" s="42"/>
      <c r="C113" s="40"/>
      <c r="D113" s="40"/>
      <c r="E113" s="40"/>
      <c r="F113" s="41"/>
      <c r="G113" s="41"/>
      <c r="H113" s="37"/>
    </row>
    <row r="114" spans="2:8" ht="17" customHeight="1">
      <c r="B114" s="42"/>
      <c r="C114" s="40"/>
      <c r="D114" s="40"/>
      <c r="E114" s="40"/>
      <c r="F114" s="41" t="s">
        <v>263</v>
      </c>
      <c r="G114" s="41" t="s">
        <v>266</v>
      </c>
      <c r="H114" s="37"/>
    </row>
    <row r="115" spans="2:8" ht="32" customHeight="1">
      <c r="B115" s="42" t="s">
        <v>314</v>
      </c>
      <c r="C115" s="36"/>
      <c r="D115" s="52" t="s">
        <v>268</v>
      </c>
      <c r="E115" s="36" t="s">
        <v>272</v>
      </c>
      <c r="F115" s="38">
        <f>COUNTIF(F6:F108,5)</f>
        <v>32</v>
      </c>
      <c r="G115" s="38">
        <f>COUNTIF(G6:G108,5)</f>
        <v>26</v>
      </c>
      <c r="H115" s="37"/>
    </row>
    <row r="116" spans="2:8" ht="29" customHeight="1">
      <c r="B116" s="42" t="s">
        <v>315</v>
      </c>
      <c r="C116" s="36"/>
      <c r="D116" s="52" t="s">
        <v>269</v>
      </c>
      <c r="E116" s="36" t="s">
        <v>273</v>
      </c>
      <c r="F116" s="38">
        <f>COUNTIF(F6:F108,4)</f>
        <v>29</v>
      </c>
      <c r="G116" s="38">
        <f>COUNTIF(G6:G108,4)</f>
        <v>32</v>
      </c>
      <c r="H116" s="37"/>
    </row>
    <row r="117" spans="2:8" ht="32" customHeight="1">
      <c r="B117" s="42" t="s">
        <v>316</v>
      </c>
      <c r="C117" s="36"/>
      <c r="D117" s="52" t="s">
        <v>270</v>
      </c>
      <c r="E117" s="36" t="s">
        <v>274</v>
      </c>
      <c r="F117" s="38">
        <f>COUNTIF(F6:F108,3)</f>
        <v>11</v>
      </c>
      <c r="G117" s="38">
        <f>COUNTIF(G6:G108,3)</f>
        <v>16</v>
      </c>
      <c r="H117" s="37"/>
    </row>
    <row r="118" spans="2:8" ht="34" customHeight="1">
      <c r="B118" s="42" t="s">
        <v>317</v>
      </c>
      <c r="C118" s="36"/>
      <c r="D118" s="52" t="s">
        <v>271</v>
      </c>
      <c r="E118" s="36" t="s">
        <v>275</v>
      </c>
      <c r="F118" s="38">
        <f>COUNTIF(F6:F108,2)</f>
        <v>11</v>
      </c>
      <c r="G118" s="38">
        <f>COUNTIF(G6:G108,2)</f>
        <v>10</v>
      </c>
      <c r="H118" s="37"/>
    </row>
    <row r="119" spans="2:8" ht="28" customHeight="1" thickBot="1">
      <c r="B119" s="43" t="s">
        <v>318</v>
      </c>
      <c r="C119" s="25"/>
      <c r="D119" s="56" t="s">
        <v>276</v>
      </c>
      <c r="E119" s="57" t="s">
        <v>277</v>
      </c>
      <c r="F119" s="39">
        <f>COUNTIF(F6:F108,1)</f>
        <v>2</v>
      </c>
      <c r="G119" s="39">
        <f>COUNTIF(G6:G108,1)</f>
        <v>3</v>
      </c>
      <c r="H119" s="26"/>
    </row>
    <row r="120" spans="2:8" ht="20" customHeight="1">
      <c r="B120" s="44"/>
      <c r="C120" s="45"/>
      <c r="D120" s="45"/>
      <c r="E120" s="45"/>
      <c r="F120" s="50" t="s">
        <v>263</v>
      </c>
      <c r="G120" s="50" t="s">
        <v>266</v>
      </c>
      <c r="H120" s="51" t="s">
        <v>267</v>
      </c>
    </row>
    <row r="121" spans="2:8" ht="25" customHeight="1" thickBot="1">
      <c r="B121" s="46" t="s">
        <v>278</v>
      </c>
      <c r="C121" s="47"/>
      <c r="D121" s="47"/>
      <c r="E121" s="47"/>
      <c r="F121" s="48">
        <f>(F15+F21+F32+F43+F55+F66+F78+F86+F97+F109)/10</f>
        <v>3.902222222222222</v>
      </c>
      <c r="G121" s="48">
        <f>AVERAGE(G15+G21+G32+G43+G55+G66+G78+G86+G97+G109)/10</f>
        <v>3.7394444444444446</v>
      </c>
      <c r="H121" s="49">
        <f>(H15+H21+H32+H43+H55+H66+H78+H86+H97+H109)/10</f>
        <v>7.7813492063492049</v>
      </c>
    </row>
    <row r="122" spans="2:8" ht="25" customHeight="1">
      <c r="B122" s="32"/>
      <c r="C122" s="33"/>
      <c r="D122" s="33"/>
      <c r="E122" s="33"/>
      <c r="F122" s="34"/>
      <c r="G122" s="34"/>
      <c r="H122" s="34"/>
    </row>
    <row r="123" spans="2:8">
      <c r="F123" s="35" t="s">
        <v>263</v>
      </c>
      <c r="G123" s="35" t="s">
        <v>289</v>
      </c>
    </row>
    <row r="124" spans="2:8">
      <c r="E124" s="6" t="s">
        <v>279</v>
      </c>
      <c r="F124" s="58">
        <f>F15</f>
        <v>4.7777777777777777</v>
      </c>
      <c r="G124" s="58">
        <f>G15</f>
        <v>5</v>
      </c>
    </row>
    <row r="125" spans="2:8">
      <c r="E125" s="6" t="s">
        <v>280</v>
      </c>
      <c r="F125" s="58">
        <f>F21</f>
        <v>3.5</v>
      </c>
      <c r="G125" s="58">
        <f>G15</f>
        <v>5</v>
      </c>
    </row>
    <row r="126" spans="2:8">
      <c r="E126" s="6" t="s">
        <v>281</v>
      </c>
      <c r="F126" s="58">
        <f>F32</f>
        <v>4.333333333333333</v>
      </c>
      <c r="G126" s="58">
        <f>G32</f>
        <v>4</v>
      </c>
    </row>
    <row r="127" spans="2:8">
      <c r="E127" s="6" t="s">
        <v>282</v>
      </c>
      <c r="F127" s="58">
        <f>F43</f>
        <v>4.1111111111111107</v>
      </c>
      <c r="G127" s="58">
        <f>G43</f>
        <v>4.1111111111111107</v>
      </c>
    </row>
    <row r="128" spans="2:8">
      <c r="E128" s="6" t="s">
        <v>283</v>
      </c>
      <c r="F128" s="58">
        <f>F55</f>
        <v>4.5</v>
      </c>
      <c r="G128" s="58">
        <f>G55</f>
        <v>4.2</v>
      </c>
    </row>
    <row r="129" spans="5:7">
      <c r="E129" s="6" t="s">
        <v>284</v>
      </c>
      <c r="F129" s="58">
        <f>F66</f>
        <v>4.4444444444444446</v>
      </c>
      <c r="G129" s="58">
        <f>G66</f>
        <v>4.1111111111111107</v>
      </c>
    </row>
    <row r="130" spans="5:7">
      <c r="E130" s="60" t="s">
        <v>285</v>
      </c>
      <c r="F130" s="59">
        <f>F78</f>
        <v>2.9</v>
      </c>
      <c r="G130" s="59">
        <f>G78</f>
        <v>2.5</v>
      </c>
    </row>
    <row r="131" spans="5:7">
      <c r="E131" s="6" t="s">
        <v>286</v>
      </c>
      <c r="F131" s="58">
        <f>F86</f>
        <v>3.8333333333333335</v>
      </c>
      <c r="G131" s="58">
        <f>G86</f>
        <v>4.166666666666667</v>
      </c>
    </row>
    <row r="132" spans="5:7">
      <c r="E132" s="6" t="s">
        <v>287</v>
      </c>
      <c r="F132" s="58">
        <f>F97</f>
        <v>3.2222222222222223</v>
      </c>
      <c r="G132" s="58">
        <f>G97</f>
        <v>3.5555555555555554</v>
      </c>
    </row>
    <row r="133" spans="5:7">
      <c r="E133" s="6" t="s">
        <v>288</v>
      </c>
      <c r="F133" s="58">
        <f>F109</f>
        <v>3.4</v>
      </c>
      <c r="G133" s="58">
        <f>G109</f>
        <v>3</v>
      </c>
    </row>
    <row r="135" spans="5:7">
      <c r="E135" s="61" t="s">
        <v>290</v>
      </c>
      <c r="F135" s="58">
        <f>MEDIAN(F124:F133)</f>
        <v>3.9722222222222223</v>
      </c>
      <c r="G135" s="58">
        <f>MEDIAN(G124:G133)</f>
        <v>4.1111111111111107</v>
      </c>
    </row>
    <row r="136" spans="5:7">
      <c r="E136" s="61" t="s">
        <v>291</v>
      </c>
      <c r="F136" s="58">
        <f>_xlfn.QUARTILE.EXC(F124:F133,1)</f>
        <v>3.3555555555555556</v>
      </c>
      <c r="G136" s="58">
        <f>_xlfn.QUARTILE.EXC(G124:G133,1)</f>
        <v>3.4166666666666665</v>
      </c>
    </row>
    <row r="137" spans="5:7">
      <c r="E137" s="61" t="s">
        <v>292</v>
      </c>
      <c r="F137" s="58">
        <f>_xlfn.QUARTILE.EXC(F124:F133,3)</f>
        <v>4.4583333333333339</v>
      </c>
      <c r="G137" s="5">
        <f>_xlfn.QUARTILE.EXC(G124:G133,3)</f>
        <v>4.4000000000000004</v>
      </c>
    </row>
    <row r="138" spans="5:7">
      <c r="E138" s="61" t="s">
        <v>293</v>
      </c>
      <c r="F138" s="92">
        <f>MIN(F124:F133)</f>
        <v>2.9</v>
      </c>
      <c r="G138" s="92">
        <f>MIN(G124:G133)</f>
        <v>2.5</v>
      </c>
    </row>
    <row r="139" spans="5:7">
      <c r="E139" s="61" t="s">
        <v>294</v>
      </c>
      <c r="F139" s="58">
        <f>MAX(F124:F133)</f>
        <v>4.7777777777777777</v>
      </c>
      <c r="G139" s="58">
        <f>MAX(G124:G133)</f>
        <v>5</v>
      </c>
    </row>
  </sheetData>
  <mergeCells count="18">
    <mergeCell ref="B3:B4"/>
    <mergeCell ref="G3:G4"/>
    <mergeCell ref="C3:C4"/>
    <mergeCell ref="D3:D4"/>
    <mergeCell ref="C5:H5"/>
    <mergeCell ref="C16:H16"/>
    <mergeCell ref="C22:H22"/>
    <mergeCell ref="C33:H33"/>
    <mergeCell ref="E3:E4"/>
    <mergeCell ref="F3:F4"/>
    <mergeCell ref="H3:H4"/>
    <mergeCell ref="C87:H87"/>
    <mergeCell ref="C98:H98"/>
    <mergeCell ref="E80:E84"/>
    <mergeCell ref="C79:H79"/>
    <mergeCell ref="C44:H44"/>
    <mergeCell ref="C56:H56"/>
    <mergeCell ref="C67:H67"/>
  </mergeCells>
  <pageMargins left="0.7" right="0.7" top="0.75" bottom="0.75" header="0.3" footer="0.3"/>
  <pageSetup paperSize="9" orientation="portrait" r:id="rId1"/>
  <headerFooter>
    <oddHeader>&amp;L&amp;"Calibri"&amp;12&amp;K03C03C Public&amp;1#_x000D_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F61FA-5D53-514C-A367-7B4924339B58}">
  <dimension ref="B2:K12"/>
  <sheetViews>
    <sheetView zoomScale="119" workbookViewId="0">
      <selection activeCell="F47" sqref="F47"/>
    </sheetView>
  </sheetViews>
  <sheetFormatPr baseColWidth="10" defaultRowHeight="15"/>
  <cols>
    <col min="1" max="1" width="4.6640625" customWidth="1"/>
    <col min="2" max="2" width="19.1640625" customWidth="1"/>
    <col min="9" max="9" width="20.6640625" customWidth="1"/>
    <col min="10" max="10" width="11.33203125" customWidth="1"/>
  </cols>
  <sheetData>
    <row r="2" spans="2:11" ht="19" customHeight="1">
      <c r="B2" s="88" t="s">
        <v>302</v>
      </c>
      <c r="C2" s="88"/>
      <c r="D2" s="66"/>
      <c r="E2" s="66"/>
      <c r="F2" s="66"/>
      <c r="G2" s="66"/>
    </row>
    <row r="3" spans="2:11">
      <c r="B3" s="67" t="s">
        <v>301</v>
      </c>
      <c r="C3" s="68">
        <v>53</v>
      </c>
      <c r="D3" s="66"/>
      <c r="E3" s="66"/>
      <c r="F3" s="66"/>
      <c r="G3" s="66"/>
      <c r="J3" s="62"/>
      <c r="K3" s="62"/>
    </row>
    <row r="4" spans="2:11">
      <c r="B4" s="67" t="s">
        <v>297</v>
      </c>
      <c r="C4" s="68">
        <v>0</v>
      </c>
      <c r="D4" s="66"/>
      <c r="E4" s="66"/>
      <c r="F4" s="66"/>
      <c r="G4" s="66"/>
      <c r="J4" s="62"/>
      <c r="K4" s="62"/>
    </row>
    <row r="5" spans="2:11">
      <c r="B5" s="67" t="s">
        <v>298</v>
      </c>
      <c r="C5" s="68">
        <v>2533</v>
      </c>
      <c r="D5" s="66"/>
      <c r="E5" s="66"/>
      <c r="F5" s="66"/>
      <c r="G5" s="66"/>
      <c r="J5" s="64"/>
      <c r="K5" s="65"/>
    </row>
    <row r="6" spans="2:11">
      <c r="B6" s="66"/>
      <c r="C6" s="66"/>
      <c r="D6" s="66"/>
      <c r="E6" s="66"/>
      <c r="F6" s="66"/>
      <c r="G6" s="66"/>
      <c r="J6" s="64"/>
      <c r="K6" s="65"/>
    </row>
    <row r="7" spans="2:11" ht="21" customHeight="1">
      <c r="B7" s="88" t="s">
        <v>313</v>
      </c>
      <c r="C7" s="88"/>
      <c r="D7" s="88"/>
      <c r="E7" s="88"/>
      <c r="F7" s="88"/>
      <c r="G7" s="88"/>
      <c r="J7" s="62"/>
      <c r="K7" s="62"/>
    </row>
    <row r="8" spans="2:11">
      <c r="B8" s="91" t="s">
        <v>296</v>
      </c>
      <c r="C8" s="89">
        <v>1</v>
      </c>
      <c r="D8" s="89">
        <v>2</v>
      </c>
      <c r="E8" s="89">
        <v>3</v>
      </c>
      <c r="F8" s="89">
        <v>4</v>
      </c>
      <c r="G8" s="89">
        <v>5</v>
      </c>
      <c r="J8" s="62"/>
      <c r="K8" s="62"/>
    </row>
    <row r="9" spans="2:11">
      <c r="B9" s="91" t="s">
        <v>297</v>
      </c>
      <c r="C9" s="89">
        <v>20</v>
      </c>
      <c r="D9" s="89">
        <v>40</v>
      </c>
      <c r="E9" s="89">
        <v>50</v>
      </c>
      <c r="F9" s="89">
        <v>60</v>
      </c>
      <c r="G9" s="89">
        <v>70</v>
      </c>
      <c r="I9" s="62"/>
      <c r="J9" s="63"/>
      <c r="K9" s="62"/>
    </row>
    <row r="10" spans="2:11">
      <c r="B10" s="91" t="s">
        <v>298</v>
      </c>
      <c r="C10" s="89">
        <v>27</v>
      </c>
      <c r="D10" s="89">
        <v>5</v>
      </c>
      <c r="E10" s="89">
        <v>3</v>
      </c>
      <c r="F10" s="89">
        <v>4</v>
      </c>
      <c r="G10" s="89">
        <v>5</v>
      </c>
      <c r="I10" s="62"/>
      <c r="J10" s="63"/>
    </row>
    <row r="11" spans="2:11">
      <c r="B11" s="91" t="s">
        <v>299</v>
      </c>
      <c r="C11" s="90">
        <f>((C10/C5)-1)*100</f>
        <v>-98.934070272404256</v>
      </c>
      <c r="D11" s="90">
        <f>((D10/C10)-1)*100</f>
        <v>-81.481481481481495</v>
      </c>
      <c r="E11" s="90">
        <f>((E10/D10)-1)*100</f>
        <v>-40</v>
      </c>
      <c r="F11" s="90">
        <f>((F10/E10)-1)*100</f>
        <v>33.333333333333329</v>
      </c>
      <c r="G11" s="90">
        <f>((G10/F10)-1)*100</f>
        <v>25</v>
      </c>
    </row>
    <row r="12" spans="2:11">
      <c r="B12" s="91" t="s">
        <v>300</v>
      </c>
      <c r="C12" s="89">
        <f>C10-C5</f>
        <v>-2506</v>
      </c>
      <c r="D12" s="89">
        <f>D10-C10</f>
        <v>-22</v>
      </c>
      <c r="E12" s="89">
        <f>E10-D10</f>
        <v>-2</v>
      </c>
      <c r="F12" s="89">
        <f>F10-E10</f>
        <v>1</v>
      </c>
      <c r="G12" s="89">
        <f>G10-F10</f>
        <v>1</v>
      </c>
    </row>
  </sheetData>
  <mergeCells count="2">
    <mergeCell ref="B7:G7"/>
    <mergeCell ref="B2:C2"/>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C9B35-492B-8F44-8E93-269E79CEE921}">
  <dimension ref="B1:G7"/>
  <sheetViews>
    <sheetView zoomScale="117" workbookViewId="0">
      <selection activeCell="E27" sqref="E27"/>
    </sheetView>
  </sheetViews>
  <sheetFormatPr baseColWidth="10" defaultRowHeight="15"/>
  <cols>
    <col min="2" max="2" width="28.1640625" customWidth="1"/>
    <col min="4" max="4" width="12.6640625" customWidth="1"/>
    <col min="5" max="5" width="16.33203125" customWidth="1"/>
    <col min="6" max="6" width="14.6640625" customWidth="1"/>
    <col min="7" max="7" width="15.83203125" customWidth="1"/>
  </cols>
  <sheetData>
    <row r="1" spans="2:7" ht="37" customHeight="1"/>
    <row r="2" spans="2:7" ht="31" customHeight="1">
      <c r="B2" s="87" t="s">
        <v>312</v>
      </c>
      <c r="C2" s="87"/>
      <c r="D2" s="87"/>
      <c r="E2" s="87"/>
      <c r="F2" s="87"/>
      <c r="G2" s="87"/>
    </row>
    <row r="3" spans="2:7" ht="30" customHeight="1">
      <c r="B3" s="81" t="s">
        <v>311</v>
      </c>
      <c r="C3" s="82" t="s">
        <v>310</v>
      </c>
      <c r="D3" s="82" t="s">
        <v>309</v>
      </c>
      <c r="E3" s="82" t="s">
        <v>308</v>
      </c>
      <c r="F3" s="82" t="s">
        <v>307</v>
      </c>
      <c r="G3" s="82" t="s">
        <v>306</v>
      </c>
    </row>
    <row r="4" spans="2:7" ht="26" customHeight="1">
      <c r="B4" s="83" t="s">
        <v>305</v>
      </c>
      <c r="C4" s="84">
        <f>(5/12)*100</f>
        <v>41.666666666666671</v>
      </c>
      <c r="D4" s="85">
        <f>(11/12)*100</f>
        <v>91.666666666666657</v>
      </c>
      <c r="E4" s="85">
        <f>(8.3/12)*100</f>
        <v>69.166666666666671</v>
      </c>
      <c r="F4" s="85">
        <f>(11/12)*100</f>
        <v>91.666666666666657</v>
      </c>
      <c r="G4" s="84">
        <f>(10.7/12)*100</f>
        <v>89.166666666666657</v>
      </c>
    </row>
    <row r="5" spans="2:7" ht="30" customHeight="1">
      <c r="B5" s="83" t="s">
        <v>304</v>
      </c>
      <c r="C5" s="83">
        <f>(2.7/9)*100</f>
        <v>30.000000000000004</v>
      </c>
      <c r="D5" s="85">
        <f>(8.3/9)*100</f>
        <v>92.222222222222229</v>
      </c>
      <c r="E5" s="85">
        <f>(8.7/9)*100</f>
        <v>96.666666666666657</v>
      </c>
      <c r="F5" s="85">
        <f>(8.7/9)*100</f>
        <v>96.666666666666657</v>
      </c>
      <c r="G5" s="86">
        <f>(7.3/9)*100</f>
        <v>81.111111111111114</v>
      </c>
    </row>
    <row r="6" spans="2:7" ht="19" customHeight="1"/>
    <row r="7" spans="2:7" ht="16" customHeight="1"/>
  </sheetData>
  <mergeCells count="1">
    <mergeCell ref="B2:G2"/>
  </mergeCell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Summary_Questionary</vt:lpstr>
      <vt:lpstr>11.3 Improvements DP &amp; MC</vt:lpstr>
      <vt:lpstr>11.4.1.2 Comparison LLM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Kessler, Beat</dc:creator>
  <cp:lastModifiedBy>Beat Kessler</cp:lastModifiedBy>
  <dcterms:created xsi:type="dcterms:W3CDTF">2025-11-13T10:27:09Z</dcterms:created>
  <dcterms:modified xsi:type="dcterms:W3CDTF">2025-12-16T16:17:33Z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4a5f65-4bbe-4bbe-bb66-e23e35795661_Enabled">
    <vt:lpwstr>true</vt:lpwstr>
  </property>
  <property fmtid="{D5CDD505-2E9C-101B-9397-08002B2CF9AE}" pid="3" name="MSIP_Label_794a5f65-4bbe-4bbe-bb66-e23e35795661_SetDate">
    <vt:lpwstr>2025-11-13T10:38:26Z</vt:lpwstr>
  </property>
  <property fmtid="{D5CDD505-2E9C-101B-9397-08002B2CF9AE}" pid="4" name="MSIP_Label_794a5f65-4bbe-4bbe-bb66-e23e35795661_Method">
    <vt:lpwstr>Privileged</vt:lpwstr>
  </property>
  <property fmtid="{D5CDD505-2E9C-101B-9397-08002B2CF9AE}" pid="5" name="MSIP_Label_794a5f65-4bbe-4bbe-bb66-e23e35795661_Name">
    <vt:lpwstr>794a5f65-4bbe-4bbe-bb66-e23e35795661</vt:lpwstr>
  </property>
  <property fmtid="{D5CDD505-2E9C-101B-9397-08002B2CF9AE}" pid="6" name="MSIP_Label_794a5f65-4bbe-4bbe-bb66-e23e35795661_SiteId">
    <vt:lpwstr>a00de4ec-48a8-43a6-be74-e31274e2060d</vt:lpwstr>
  </property>
  <property fmtid="{D5CDD505-2E9C-101B-9397-08002B2CF9AE}" pid="7" name="MSIP_Label_794a5f65-4bbe-4bbe-bb66-e23e35795661_ActionId">
    <vt:lpwstr>95f6c26a-6511-4687-97d3-17b36c6f6b2e</vt:lpwstr>
  </property>
  <property fmtid="{D5CDD505-2E9C-101B-9397-08002B2CF9AE}" pid="8" name="MSIP_Label_794a5f65-4bbe-4bbe-bb66-e23e35795661_ContentBits">
    <vt:lpwstr>1</vt:lpwstr>
  </property>
  <property fmtid="{D5CDD505-2E9C-101B-9397-08002B2CF9AE}" pid="9" name="MSIP_Label_794a5f65-4bbe-4bbe-bb66-e23e35795661_Tag">
    <vt:lpwstr>10, 0, 1, 1</vt:lpwstr>
  </property>
  <property fmtid="{D5CDD505-2E9C-101B-9397-08002B2CF9AE}" pid="10" name="_AdHocReviewCycleID">
    <vt:i4>-2080417179</vt:i4>
  </property>
  <property fmtid="{D5CDD505-2E9C-101B-9397-08002B2CF9AE}" pid="11" name="_NewReviewCycle">
    <vt:lpwstr/>
  </property>
  <property fmtid="{D5CDD505-2E9C-101B-9397-08002B2CF9AE}" pid="12" name="_EmailSubject">
    <vt:lpwstr/>
  </property>
  <property fmtid="{D5CDD505-2E9C-101B-9397-08002B2CF9AE}" pid="13" name="_AuthorEmail">
    <vt:lpwstr>beat.kessler@msd.com</vt:lpwstr>
  </property>
  <property fmtid="{D5CDD505-2E9C-101B-9397-08002B2CF9AE}" pid="14" name="_AuthorEmailDisplayName">
    <vt:lpwstr>Kessler, Beat</vt:lpwstr>
  </property>
</Properties>
</file>